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Paper\2025_LLM_MBS\llmpaper2026_git\misc\preliminaryResults\"/>
    </mc:Choice>
  </mc:AlternateContent>
  <xr:revisionPtr revIDLastSave="0" documentId="13_ncr:1_{DA248B28-C02B-4EBA-9A5F-F856507ACA2E}" xr6:coauthVersionLast="47" xr6:coauthVersionMax="47" xr10:uidLastSave="{00000000-0000-0000-0000-000000000000}"/>
  <bookViews>
    <workbookView xWindow="249" yWindow="1260" windowWidth="29734" windowHeight="15223" xr2:uid="{07BDF609-F032-4B2D-854D-FFFD55FEA5F0}"/>
  </bookViews>
  <sheets>
    <sheet name="overall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1" i="1" l="1"/>
  <c r="V21" i="1"/>
  <c r="W21" i="1"/>
  <c r="X21" i="1"/>
  <c r="Y21" i="1"/>
  <c r="Z21" i="1"/>
  <c r="T21" i="1"/>
  <c r="U19" i="1"/>
  <c r="V19" i="1"/>
  <c r="W19" i="1"/>
  <c r="X19" i="1"/>
  <c r="Y19" i="1"/>
  <c r="Z19" i="1"/>
  <c r="T19" i="1"/>
  <c r="U11" i="1"/>
  <c r="V11" i="1"/>
  <c r="W11" i="1"/>
  <c r="X11" i="1"/>
  <c r="Y11" i="1"/>
  <c r="Z11" i="1"/>
  <c r="T11" i="1"/>
  <c r="H9" i="1"/>
  <c r="H15" i="1"/>
  <c r="H16" i="1"/>
  <c r="H17" i="1"/>
  <c r="H18" i="1"/>
  <c r="H14" i="1"/>
  <c r="H7" i="1"/>
  <c r="H8" i="1"/>
  <c r="H10" i="1"/>
  <c r="H6" i="1"/>
</calcChain>
</file>

<file path=xl/sharedStrings.xml><?xml version="1.0" encoding="utf-8"?>
<sst xmlns="http://schemas.openxmlformats.org/spreadsheetml/2006/main" count="169" uniqueCount="81">
  <si>
    <t>Merge Date</t>
  </si>
  <si>
    <t>Merge Time</t>
  </si>
  <si>
    <t>Case Name</t>
  </si>
  <si>
    <t>eval date</t>
  </si>
  <si>
    <t>eval time</t>
  </si>
  <si>
    <t>nTasks</t>
  </si>
  <si>
    <t>LLM dur. (min)</t>
  </si>
  <si>
    <t>nTokGen (k)</t>
  </si>
  <si>
    <t>nThkTok (k)</t>
  </si>
  <si>
    <t>tokens / s</t>
  </si>
  <si>
    <t>maxCtx (k)</t>
  </si>
  <si>
    <t>choose items</t>
  </si>
  <si>
    <t>reached assemble</t>
  </si>
  <si>
    <t>finished assemble</t>
  </si>
  <si>
    <t>solver init</t>
  </si>
  <si>
    <t>solver success</t>
  </si>
  <si>
    <t>topology match</t>
  </si>
  <si>
    <t>solution match</t>
  </si>
  <si>
    <t>graph content match</t>
  </si>
  <si>
    <t>overall success</t>
  </si>
  <si>
    <t>kin./marker nERR</t>
  </si>
  <si>
    <t>RB ref.conf. nERR</t>
  </si>
  <si>
    <t>vel. nERR</t>
  </si>
  <si>
    <t>inertia/mass nERRs</t>
  </si>
  <si>
    <t>gravity/load nERR</t>
  </si>
  <si>
    <t>connect./constr. nERR</t>
  </si>
  <si>
    <t>other nERR</t>
  </si>
  <si>
    <t>graphs timeout</t>
  </si>
  <si>
    <t>solver Sample timeout</t>
  </si>
  <si>
    <t>solver LLM timeout</t>
  </si>
  <si>
    <t>ctx window exceeded</t>
  </si>
  <si>
    <t>ctx exceeded tok. (max)</t>
  </si>
  <si>
    <t>temperature</t>
  </si>
  <si>
    <t>thinking</t>
  </si>
  <si>
    <t>batch</t>
  </si>
  <si>
    <t>LLM date</t>
  </si>
  <si>
    <t>LLM ctxSize (k)</t>
  </si>
  <si>
    <t>ctx size used (P95)</t>
  </si>
  <si>
    <t>ctx size used (max)</t>
  </si>
  <si>
    <t>prompt tokens (mean)</t>
  </si>
  <si>
    <t>api cost (EUR)</t>
  </si>
  <si>
    <t>api budget rem. (EUR)</t>
  </si>
  <si>
    <t>LLM full name</t>
  </si>
  <si>
    <t>LLM short name</t>
  </si>
  <si>
    <t>VRAM (GB)</t>
  </si>
  <si>
    <t>GPU</t>
  </si>
  <si>
    <t>pipeline</t>
  </si>
  <si>
    <t>Gemma4-26B-OL-B8-Thk1</t>
  </si>
  <si>
    <t>True</t>
  </si>
  <si>
    <t>2026-04</t>
  </si>
  <si>
    <t>gemma4:26b</t>
  </si>
  <si>
    <t>Gemma4-26B-OL</t>
  </si>
  <si>
    <t>NVIDIA GeForce RTX 5090</t>
  </si>
  <si>
    <t>ollama</t>
  </si>
  <si>
    <t>Gemma4-31B-OL-B2-Thk1</t>
  </si>
  <si>
    <t>gemma4:31b</t>
  </si>
  <si>
    <t>Gemma4-31B-OL</t>
  </si>
  <si>
    <t>medium</t>
  </si>
  <si>
    <t>2025-08</t>
  </si>
  <si>
    <t>gpt-oss:20b</t>
  </si>
  <si>
    <t>gpt-oss-20B-OL</t>
  </si>
  <si>
    <t>Qwen3.6-27B-OL-Thk1</t>
  </si>
  <si>
    <t>qwen3.6:27b</t>
  </si>
  <si>
    <t>Qwen3.6-27B-OL</t>
  </si>
  <si>
    <t>total tokens</t>
  </si>
  <si>
    <t>Gemma4-26B-OL-B8-T0.0</t>
  </si>
  <si>
    <t>False</t>
  </si>
  <si>
    <t>Gemma4-31B-OL-B2-T0.0</t>
  </si>
  <si>
    <t>gpt-oss-20B-OL-B32-T0.0</t>
  </si>
  <si>
    <t>low</t>
  </si>
  <si>
    <t>Qwen3.5-27B-OL-T0.0</t>
  </si>
  <si>
    <t>2026-02</t>
  </si>
  <si>
    <t>qwen3.5:27b</t>
  </si>
  <si>
    <t>Qwen3.5-27B-OL</t>
  </si>
  <si>
    <t>Qwen3.6-27B-OL-T0.0</t>
  </si>
  <si>
    <t>without thinking:</t>
  </si>
  <si>
    <t>with thinking:</t>
  </si>
  <si>
    <t>Qwen3.5-27B-OL-Thk1</t>
  </si>
  <si>
    <t>gpt-oss-20B-OL-B24-Thk1</t>
  </si>
  <si>
    <t>error reduction with thinking: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</si>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</sst>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  <xf numFmtId="0" fontId="0" fillId="34" borderId="0" xfId="0" applyFill="1"/>
    <xf numFmtId="164" fontId="0" fillId="35" borderId="0" xfId="42" applyNumberFormat="1" applyFont="1" applyFill="1"/>
    <xf numFmtId="164" fontId="0" fillId="36" borderId="0" xfId="42" applyNumberFormat="1" applyFont="1" applyFill="1"/>
    <xf numFmtId="0" fontId="0" fillId="37" borderId="0" xfId="0" applyFill="1"/>
    <xf numFmtId="2" fontId="0" fillId="37" borderId="0" xfId="42" applyNumberFormat="1" applyFont="1" applyFill="1"/>
    <xf numFmtId="0" fontId="16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" xfId="42" builtinId="5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6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7DFB4A-2456-4E5F-AD24-900CD886614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16fdfa6-e709-47bb-ba65-1c0fed5bd65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4956-64B1-4376-B512-5DA3E022FA77}">
  <dimension ref="A1:AT21"/>
  <sheetViews>
    <sheetView tabSelected="1" workbookViewId="0">
      <selection activeCell="S21" sqref="S21"/>
    </sheetView>
  </sheetViews>
  <sheetFormatPr baseColWidth="10" defaultRowHeight="14.6" x14ac:dyDescent="0.4"/>
  <cols>
    <col min="1" max="1" width="29.84375" customWidth="1"/>
  </cols>
  <sheetData>
    <row r="1" spans="1:46" x14ac:dyDescent="0.4">
      <c r="A1" t="s">
        <v>0</v>
      </c>
      <c r="B1" s="1">
        <v>46196</v>
      </c>
    </row>
    <row r="2" spans="1:46" x14ac:dyDescent="0.4">
      <c r="A2" t="s">
        <v>1</v>
      </c>
      <c r="B2" s="2">
        <v>0.52306712962962965</v>
      </c>
    </row>
    <row r="3" spans="1:46" x14ac:dyDescent="0.4">
      <c r="B3" s="2"/>
    </row>
    <row r="4" spans="1:46" x14ac:dyDescent="0.4">
      <c r="A4" s="9" t="s">
        <v>76</v>
      </c>
    </row>
    <row r="5" spans="1:46" x14ac:dyDescent="0.4">
      <c r="A5" t="s">
        <v>2</v>
      </c>
      <c r="B5" t="s">
        <v>3</v>
      </c>
      <c r="C5" t="s">
        <v>4</v>
      </c>
      <c r="D5" t="s">
        <v>5</v>
      </c>
      <c r="E5" s="3" t="s">
        <v>6</v>
      </c>
      <c r="F5" t="s">
        <v>7</v>
      </c>
      <c r="G5" t="s">
        <v>8</v>
      </c>
      <c r="H5" s="4" t="s">
        <v>64</v>
      </c>
      <c r="I5" t="s">
        <v>9</v>
      </c>
      <c r="J5" t="s">
        <v>10</v>
      </c>
      <c r="K5" s="6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6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32</v>
      </c>
      <c r="AG5" t="s">
        <v>33</v>
      </c>
      <c r="AH5" t="s">
        <v>34</v>
      </c>
      <c r="AI5" t="s">
        <v>35</v>
      </c>
      <c r="AJ5" t="s">
        <v>36</v>
      </c>
      <c r="AK5" t="s">
        <v>37</v>
      </c>
      <c r="AL5" t="s">
        <v>38</v>
      </c>
      <c r="AM5" t="s">
        <v>39</v>
      </c>
      <c r="AN5" t="s">
        <v>40</v>
      </c>
      <c r="AO5" t="s">
        <v>41</v>
      </c>
      <c r="AP5" t="s">
        <v>42</v>
      </c>
      <c r="AQ5" t="s">
        <v>43</v>
      </c>
      <c r="AR5" t="s">
        <v>44</v>
      </c>
      <c r="AS5" t="s">
        <v>45</v>
      </c>
      <c r="AT5" t="s">
        <v>46</v>
      </c>
    </row>
    <row r="6" spans="1:46" x14ac:dyDescent="0.4">
      <c r="A6" t="s">
        <v>47</v>
      </c>
      <c r="B6" s="1">
        <v>46193</v>
      </c>
      <c r="C6" s="2">
        <v>0.34431712962962963</v>
      </c>
      <c r="D6">
        <v>1000</v>
      </c>
      <c r="E6" s="3">
        <v>335.07</v>
      </c>
      <c r="F6">
        <v>1904</v>
      </c>
      <c r="G6">
        <v>4341</v>
      </c>
      <c r="H6" s="4">
        <f>F6+G6</f>
        <v>6245</v>
      </c>
      <c r="I6">
        <v>304.95</v>
      </c>
      <c r="J6">
        <v>15360</v>
      </c>
      <c r="K6" s="6">
        <v>0.998</v>
      </c>
      <c r="L6" s="5">
        <v>0.86899999999999999</v>
      </c>
      <c r="M6" s="5">
        <v>0.86899999999999999</v>
      </c>
      <c r="N6" s="5">
        <v>0.86</v>
      </c>
      <c r="O6" s="5">
        <v>0.85099999999999998</v>
      </c>
      <c r="P6" s="5">
        <v>0.84699999999999998</v>
      </c>
      <c r="Q6" s="5">
        <v>0.77500000000000002</v>
      </c>
      <c r="R6" s="5">
        <v>0.77200000000000002</v>
      </c>
      <c r="S6" s="6">
        <v>0.75</v>
      </c>
      <c r="T6">
        <v>15</v>
      </c>
      <c r="U6">
        <v>4</v>
      </c>
      <c r="V6">
        <v>18</v>
      </c>
      <c r="W6">
        <v>9</v>
      </c>
      <c r="X6">
        <v>4</v>
      </c>
      <c r="Y6">
        <v>27</v>
      </c>
      <c r="Z6">
        <v>42</v>
      </c>
      <c r="AA6">
        <v>0.998</v>
      </c>
      <c r="AB6">
        <v>1</v>
      </c>
      <c r="AC6">
        <v>1</v>
      </c>
      <c r="AD6">
        <v>0</v>
      </c>
      <c r="AE6">
        <v>0</v>
      </c>
      <c r="AF6">
        <v>-1</v>
      </c>
      <c r="AG6" t="s">
        <v>48</v>
      </c>
      <c r="AH6">
        <v>8</v>
      </c>
      <c r="AI6" t="s">
        <v>49</v>
      </c>
      <c r="AJ6">
        <v>256</v>
      </c>
      <c r="AK6">
        <v>11459</v>
      </c>
      <c r="AL6">
        <v>12032</v>
      </c>
      <c r="AM6">
        <v>1189.5</v>
      </c>
      <c r="AN6">
        <v>0</v>
      </c>
      <c r="AO6">
        <v>-1</v>
      </c>
      <c r="AP6" t="s">
        <v>50</v>
      </c>
      <c r="AQ6" t="s">
        <v>51</v>
      </c>
      <c r="AR6">
        <v>18</v>
      </c>
      <c r="AS6" t="s">
        <v>52</v>
      </c>
      <c r="AT6" t="s">
        <v>53</v>
      </c>
    </row>
    <row r="7" spans="1:46" x14ac:dyDescent="0.4">
      <c r="A7" t="s">
        <v>54</v>
      </c>
      <c r="B7" s="1">
        <v>46193</v>
      </c>
      <c r="C7" s="2">
        <v>0.89105324074074066</v>
      </c>
      <c r="D7">
        <v>1000</v>
      </c>
      <c r="E7" s="3">
        <v>670.14</v>
      </c>
      <c r="F7">
        <v>1197</v>
      </c>
      <c r="G7">
        <v>2070</v>
      </c>
      <c r="H7" s="4">
        <f t="shared" ref="H7:H10" si="0">F7+G7</f>
        <v>3267</v>
      </c>
      <c r="I7">
        <v>79.17</v>
      </c>
      <c r="J7">
        <v>15360</v>
      </c>
      <c r="K7" s="6">
        <v>0.996</v>
      </c>
      <c r="L7" s="5">
        <v>0.99399999999999999</v>
      </c>
      <c r="M7" s="5">
        <v>0.99399999999999999</v>
      </c>
      <c r="N7" s="5">
        <v>0.98499999999999999</v>
      </c>
      <c r="O7" s="5">
        <v>0.98099999999999998</v>
      </c>
      <c r="P7" s="5">
        <v>0.99299999999999999</v>
      </c>
      <c r="Q7" s="5">
        <v>0.88500000000000001</v>
      </c>
      <c r="R7" s="5">
        <v>0.89300000000000002</v>
      </c>
      <c r="S7" s="6">
        <v>0.86</v>
      </c>
      <c r="T7">
        <v>9</v>
      </c>
      <c r="U7">
        <v>8</v>
      </c>
      <c r="V7">
        <v>41</v>
      </c>
      <c r="W7">
        <v>17</v>
      </c>
      <c r="X7">
        <v>0</v>
      </c>
      <c r="Y7">
        <v>30</v>
      </c>
      <c r="Z7">
        <v>43</v>
      </c>
      <c r="AA7">
        <v>0.996</v>
      </c>
      <c r="AB7">
        <v>1</v>
      </c>
      <c r="AC7">
        <v>1</v>
      </c>
      <c r="AD7">
        <v>0</v>
      </c>
      <c r="AE7">
        <v>0</v>
      </c>
      <c r="AF7">
        <v>-1</v>
      </c>
      <c r="AG7" t="s">
        <v>48</v>
      </c>
      <c r="AH7">
        <v>2</v>
      </c>
      <c r="AI7" t="s">
        <v>49</v>
      </c>
      <c r="AJ7">
        <v>256</v>
      </c>
      <c r="AK7">
        <v>7440.7</v>
      </c>
      <c r="AL7">
        <v>11524</v>
      </c>
      <c r="AM7">
        <v>1190.8</v>
      </c>
      <c r="AN7">
        <v>0</v>
      </c>
      <c r="AO7">
        <v>-1</v>
      </c>
      <c r="AP7" t="s">
        <v>55</v>
      </c>
      <c r="AQ7" t="s">
        <v>56</v>
      </c>
      <c r="AR7">
        <v>20</v>
      </c>
      <c r="AS7" t="s">
        <v>52</v>
      </c>
      <c r="AT7" t="s">
        <v>53</v>
      </c>
    </row>
    <row r="8" spans="1:46" x14ac:dyDescent="0.4">
      <c r="A8" t="s">
        <v>78</v>
      </c>
      <c r="B8" s="1">
        <v>46193</v>
      </c>
      <c r="C8" s="2">
        <v>0.84453703703703698</v>
      </c>
      <c r="D8">
        <v>1000</v>
      </c>
      <c r="E8" s="3">
        <v>59.35</v>
      </c>
      <c r="F8">
        <v>451</v>
      </c>
      <c r="G8">
        <v>2158</v>
      </c>
      <c r="H8" s="4">
        <f t="shared" si="0"/>
        <v>2609</v>
      </c>
      <c r="I8">
        <v>666.73</v>
      </c>
      <c r="J8">
        <v>9216</v>
      </c>
      <c r="K8" s="6">
        <v>0.98499999999999999</v>
      </c>
      <c r="L8" s="5">
        <v>0.94099999999999995</v>
      </c>
      <c r="M8" s="5">
        <v>0.93700000000000006</v>
      </c>
      <c r="N8" s="5">
        <v>0.93</v>
      </c>
      <c r="O8" s="5">
        <v>0.92</v>
      </c>
      <c r="P8" s="5">
        <v>0.871</v>
      </c>
      <c r="Q8" s="5">
        <v>0.79900000000000004</v>
      </c>
      <c r="R8" s="5">
        <v>0.78</v>
      </c>
      <c r="S8" s="6">
        <v>0.76</v>
      </c>
      <c r="T8">
        <v>34</v>
      </c>
      <c r="U8">
        <v>7</v>
      </c>
      <c r="V8">
        <v>22</v>
      </c>
      <c r="W8">
        <v>13</v>
      </c>
      <c r="X8">
        <v>1</v>
      </c>
      <c r="Y8">
        <v>39</v>
      </c>
      <c r="Z8">
        <v>48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 t="s">
        <v>57</v>
      </c>
      <c r="AH8">
        <v>24</v>
      </c>
      <c r="AI8" t="s">
        <v>58</v>
      </c>
      <c r="AJ8">
        <v>128</v>
      </c>
      <c r="AK8">
        <v>6977.8</v>
      </c>
      <c r="AL8">
        <v>7845</v>
      </c>
      <c r="AM8">
        <v>1159.2</v>
      </c>
      <c r="AN8">
        <v>0</v>
      </c>
      <c r="AO8">
        <v>-1</v>
      </c>
      <c r="AP8" t="s">
        <v>59</v>
      </c>
      <c r="AQ8" t="s">
        <v>60</v>
      </c>
      <c r="AR8">
        <v>14</v>
      </c>
      <c r="AS8" t="s">
        <v>52</v>
      </c>
      <c r="AT8" t="s">
        <v>53</v>
      </c>
    </row>
    <row r="9" spans="1:46" x14ac:dyDescent="0.4">
      <c r="A9" t="s">
        <v>77</v>
      </c>
      <c r="B9" s="1">
        <v>46196</v>
      </c>
      <c r="C9" s="2">
        <v>0.48174768518518518</v>
      </c>
      <c r="D9">
        <v>1000</v>
      </c>
      <c r="E9" s="3">
        <v>2979.19</v>
      </c>
      <c r="F9">
        <v>314</v>
      </c>
      <c r="G9">
        <v>9345</v>
      </c>
      <c r="H9" s="4">
        <f t="shared" si="0"/>
        <v>9659</v>
      </c>
      <c r="I9">
        <v>55.02</v>
      </c>
      <c r="J9">
        <v>15360</v>
      </c>
      <c r="K9" s="6">
        <v>0.99199999999999999</v>
      </c>
      <c r="L9" s="5">
        <v>0.86</v>
      </c>
      <c r="M9" s="5">
        <v>0.86</v>
      </c>
      <c r="N9" s="5">
        <v>0.85799999999999998</v>
      </c>
      <c r="O9" s="5">
        <v>0.85399999999999998</v>
      </c>
      <c r="P9" s="5">
        <v>0.84799999999999998</v>
      </c>
      <c r="Q9" s="5">
        <v>0.79</v>
      </c>
      <c r="R9" s="5">
        <v>0.77500000000000002</v>
      </c>
      <c r="S9" s="6">
        <v>0.76700000000000002</v>
      </c>
      <c r="T9">
        <v>2</v>
      </c>
      <c r="U9">
        <v>2</v>
      </c>
      <c r="V9">
        <v>19</v>
      </c>
      <c r="W9">
        <v>1</v>
      </c>
      <c r="X9">
        <v>1</v>
      </c>
      <c r="Y9">
        <v>33</v>
      </c>
      <c r="Z9">
        <v>39</v>
      </c>
      <c r="AA9">
        <v>0.99299999999999999</v>
      </c>
      <c r="AB9">
        <v>1</v>
      </c>
      <c r="AC9">
        <v>1</v>
      </c>
      <c r="AD9">
        <v>0</v>
      </c>
      <c r="AE9">
        <v>0</v>
      </c>
      <c r="AF9">
        <v>-1</v>
      </c>
      <c r="AG9" t="s">
        <v>48</v>
      </c>
      <c r="AH9">
        <v>1</v>
      </c>
      <c r="AI9" t="s">
        <v>71</v>
      </c>
      <c r="AJ9">
        <v>256</v>
      </c>
      <c r="AK9">
        <v>11800</v>
      </c>
      <c r="AL9">
        <v>11955</v>
      </c>
      <c r="AM9">
        <v>1175.0999999999999</v>
      </c>
      <c r="AN9">
        <v>0</v>
      </c>
      <c r="AO9">
        <v>-1</v>
      </c>
      <c r="AP9" t="s">
        <v>72</v>
      </c>
      <c r="AQ9" t="s">
        <v>73</v>
      </c>
      <c r="AR9">
        <v>17</v>
      </c>
      <c r="AS9" t="s">
        <v>52</v>
      </c>
      <c r="AT9" t="s">
        <v>53</v>
      </c>
    </row>
    <row r="10" spans="1:46" x14ac:dyDescent="0.4">
      <c r="A10" t="s">
        <v>61</v>
      </c>
      <c r="B10" s="1">
        <v>46194</v>
      </c>
      <c r="C10" s="2">
        <v>0.38034722222222223</v>
      </c>
      <c r="D10">
        <v>1000</v>
      </c>
      <c r="E10" s="3">
        <v>2399.81</v>
      </c>
      <c r="F10">
        <v>282</v>
      </c>
      <c r="G10">
        <v>6931</v>
      </c>
      <c r="H10" s="4">
        <f t="shared" si="0"/>
        <v>7213</v>
      </c>
      <c r="I10">
        <v>51.01</v>
      </c>
      <c r="J10">
        <v>15360</v>
      </c>
      <c r="K10" s="6">
        <v>1</v>
      </c>
      <c r="L10" s="5">
        <v>0.88100000000000001</v>
      </c>
      <c r="M10" s="5">
        <v>0.88100000000000001</v>
      </c>
      <c r="N10" s="5">
        <v>0.879</v>
      </c>
      <c r="O10" s="5">
        <v>0.872</v>
      </c>
      <c r="P10" s="5">
        <v>0.85899999999999999</v>
      </c>
      <c r="Q10" s="5">
        <v>0.79400000000000004</v>
      </c>
      <c r="R10" s="5">
        <v>0.79800000000000004</v>
      </c>
      <c r="S10" s="6">
        <v>0.77900000000000003</v>
      </c>
      <c r="T10">
        <v>6</v>
      </c>
      <c r="U10">
        <v>2</v>
      </c>
      <c r="V10">
        <v>18</v>
      </c>
      <c r="W10">
        <v>8</v>
      </c>
      <c r="X10">
        <v>0</v>
      </c>
      <c r="Y10">
        <v>13</v>
      </c>
      <c r="Z10">
        <v>39</v>
      </c>
      <c r="AA10">
        <v>0.997</v>
      </c>
      <c r="AB10">
        <v>1</v>
      </c>
      <c r="AC10">
        <v>1</v>
      </c>
      <c r="AD10">
        <v>0</v>
      </c>
      <c r="AE10">
        <v>0</v>
      </c>
      <c r="AF10">
        <v>-1</v>
      </c>
      <c r="AG10" t="s">
        <v>48</v>
      </c>
      <c r="AH10">
        <v>1</v>
      </c>
      <c r="AI10" t="s">
        <v>49</v>
      </c>
      <c r="AJ10">
        <v>256</v>
      </c>
      <c r="AK10">
        <v>14901</v>
      </c>
      <c r="AL10">
        <v>15320</v>
      </c>
      <c r="AM10">
        <v>1173.2</v>
      </c>
      <c r="AN10">
        <v>0</v>
      </c>
      <c r="AO10">
        <v>-1</v>
      </c>
      <c r="AP10" t="s">
        <v>62</v>
      </c>
      <c r="AQ10" t="s">
        <v>63</v>
      </c>
      <c r="AR10">
        <v>17</v>
      </c>
      <c r="AS10" t="s">
        <v>52</v>
      </c>
      <c r="AT10" t="s">
        <v>53</v>
      </c>
    </row>
    <row r="11" spans="1:46" x14ac:dyDescent="0.4">
      <c r="B11" s="1"/>
      <c r="C11" s="2"/>
      <c r="K11" s="5"/>
      <c r="L11" s="5"/>
      <c r="M11" s="5"/>
      <c r="N11" s="5"/>
      <c r="O11" s="5"/>
      <c r="P11" s="5"/>
      <c r="Q11" s="5"/>
      <c r="R11" s="5"/>
      <c r="S11" s="5" t="s">
        <v>80</v>
      </c>
      <c r="T11" s="7">
        <f>AVERAGE(T6:T10)</f>
        <v>13.2</v>
      </c>
      <c r="U11" s="7">
        <f t="shared" ref="U11:Z11" si="1">AVERAGE(U6:U10)</f>
        <v>4.5999999999999996</v>
      </c>
      <c r="V11" s="7">
        <f t="shared" si="1"/>
        <v>23.6</v>
      </c>
      <c r="W11" s="7">
        <f t="shared" si="1"/>
        <v>9.6</v>
      </c>
      <c r="X11" s="7">
        <f t="shared" si="1"/>
        <v>1.2</v>
      </c>
      <c r="Y11" s="7">
        <f t="shared" si="1"/>
        <v>28.4</v>
      </c>
      <c r="Z11" s="7">
        <f t="shared" si="1"/>
        <v>42.2</v>
      </c>
    </row>
    <row r="12" spans="1:46" x14ac:dyDescent="0.4">
      <c r="A12" s="9" t="s">
        <v>75</v>
      </c>
      <c r="K12" s="5"/>
      <c r="L12" s="5"/>
      <c r="M12" s="5"/>
      <c r="N12" s="5"/>
      <c r="O12" s="5"/>
      <c r="P12" s="5"/>
      <c r="Q12" s="5"/>
      <c r="R12" s="5"/>
      <c r="S12" s="5"/>
    </row>
    <row r="13" spans="1:46" x14ac:dyDescent="0.4">
      <c r="A13" t="s">
        <v>2</v>
      </c>
      <c r="B13" t="s">
        <v>3</v>
      </c>
      <c r="C13" t="s">
        <v>4</v>
      </c>
      <c r="D13" t="s">
        <v>5</v>
      </c>
      <c r="E13" s="3" t="s">
        <v>6</v>
      </c>
      <c r="F13" t="s">
        <v>7</v>
      </c>
      <c r="G13" t="s">
        <v>8</v>
      </c>
      <c r="H13" s="4" t="s">
        <v>64</v>
      </c>
      <c r="I13" t="s">
        <v>9</v>
      </c>
      <c r="J13" t="s">
        <v>10</v>
      </c>
      <c r="K13" s="6" t="s">
        <v>11</v>
      </c>
      <c r="L13" s="5" t="s">
        <v>12</v>
      </c>
      <c r="M13" s="5" t="s">
        <v>13</v>
      </c>
      <c r="N13" s="5" t="s">
        <v>14</v>
      </c>
      <c r="O13" s="5" t="s">
        <v>15</v>
      </c>
      <c r="P13" s="5" t="s">
        <v>16</v>
      </c>
      <c r="Q13" s="5" t="s">
        <v>17</v>
      </c>
      <c r="R13" s="5" t="s">
        <v>18</v>
      </c>
      <c r="S13" s="6" t="s">
        <v>19</v>
      </c>
      <c r="T13" t="s">
        <v>20</v>
      </c>
      <c r="U13" t="s">
        <v>21</v>
      </c>
      <c r="V13" t="s">
        <v>22</v>
      </c>
      <c r="W13" t="s">
        <v>23</v>
      </c>
      <c r="X13" t="s">
        <v>24</v>
      </c>
      <c r="Y13" t="s">
        <v>25</v>
      </c>
      <c r="Z13" t="s">
        <v>26</v>
      </c>
      <c r="AA13" t="s">
        <v>27</v>
      </c>
      <c r="AB13" t="s">
        <v>28</v>
      </c>
      <c r="AC13" t="s">
        <v>29</v>
      </c>
      <c r="AD13" t="s">
        <v>30</v>
      </c>
      <c r="AE13" t="s">
        <v>31</v>
      </c>
      <c r="AF13" t="s">
        <v>32</v>
      </c>
      <c r="AG13" t="s">
        <v>33</v>
      </c>
      <c r="AH13" t="s">
        <v>34</v>
      </c>
      <c r="AI13" t="s">
        <v>35</v>
      </c>
      <c r="AJ13" t="s">
        <v>36</v>
      </c>
      <c r="AK13" t="s">
        <v>37</v>
      </c>
      <c r="AL13" t="s">
        <v>38</v>
      </c>
      <c r="AM13" t="s">
        <v>39</v>
      </c>
      <c r="AN13" t="s">
        <v>40</v>
      </c>
      <c r="AO13" t="s">
        <v>41</v>
      </c>
      <c r="AP13" t="s">
        <v>42</v>
      </c>
      <c r="AQ13" t="s">
        <v>43</v>
      </c>
      <c r="AR13" t="s">
        <v>44</v>
      </c>
      <c r="AS13" t="s">
        <v>45</v>
      </c>
      <c r="AT13" t="s">
        <v>46</v>
      </c>
    </row>
    <row r="14" spans="1:46" x14ac:dyDescent="0.4">
      <c r="A14" t="s">
        <v>65</v>
      </c>
      <c r="B14" s="1">
        <v>46192</v>
      </c>
      <c r="C14" s="2">
        <v>0.18465277777777778</v>
      </c>
      <c r="D14">
        <v>1000</v>
      </c>
      <c r="E14" s="3">
        <v>33.08</v>
      </c>
      <c r="F14">
        <v>622</v>
      </c>
      <c r="G14">
        <v>0</v>
      </c>
      <c r="H14" s="4">
        <f t="shared" ref="H14:H18" si="2">F14+G14</f>
        <v>622</v>
      </c>
      <c r="I14">
        <v>186.05</v>
      </c>
      <c r="J14">
        <v>6144</v>
      </c>
      <c r="K14" s="6">
        <v>0.999</v>
      </c>
      <c r="L14" s="5">
        <v>0.89100000000000001</v>
      </c>
      <c r="M14" s="5">
        <v>0.88900000000000001</v>
      </c>
      <c r="N14" s="5">
        <v>0.88300000000000001</v>
      </c>
      <c r="O14" s="5">
        <v>0.84699999999999998</v>
      </c>
      <c r="P14" s="5">
        <v>0.84499999999999997</v>
      </c>
      <c r="Q14" s="5">
        <v>0.70199999999999996</v>
      </c>
      <c r="R14" s="5">
        <v>0.66600000000000004</v>
      </c>
      <c r="S14" s="6">
        <v>0.66</v>
      </c>
      <c r="T14">
        <v>68</v>
      </c>
      <c r="U14">
        <v>29</v>
      </c>
      <c r="V14">
        <v>14</v>
      </c>
      <c r="W14">
        <v>45</v>
      </c>
      <c r="X14">
        <v>1</v>
      </c>
      <c r="Y14">
        <v>55</v>
      </c>
      <c r="Z14">
        <v>53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 t="s">
        <v>66</v>
      </c>
      <c r="AH14">
        <v>8</v>
      </c>
      <c r="AI14" t="s">
        <v>49</v>
      </c>
      <c r="AJ14">
        <v>256</v>
      </c>
      <c r="AK14">
        <v>3166.5</v>
      </c>
      <c r="AL14">
        <v>5878</v>
      </c>
      <c r="AM14">
        <v>1191.8</v>
      </c>
      <c r="AN14">
        <v>0</v>
      </c>
      <c r="AO14">
        <v>-1</v>
      </c>
      <c r="AP14" t="s">
        <v>50</v>
      </c>
      <c r="AQ14" t="s">
        <v>51</v>
      </c>
      <c r="AR14">
        <v>18</v>
      </c>
      <c r="AS14" t="s">
        <v>52</v>
      </c>
      <c r="AT14" t="s">
        <v>53</v>
      </c>
    </row>
    <row r="15" spans="1:46" x14ac:dyDescent="0.4">
      <c r="A15" t="s">
        <v>67</v>
      </c>
      <c r="B15" s="1">
        <v>46191</v>
      </c>
      <c r="C15" s="2">
        <v>0.66046296296296292</v>
      </c>
      <c r="D15">
        <v>1000</v>
      </c>
      <c r="E15" s="3">
        <v>108.53</v>
      </c>
      <c r="F15">
        <v>521</v>
      </c>
      <c r="G15">
        <v>0</v>
      </c>
      <c r="H15" s="4">
        <f t="shared" si="2"/>
        <v>521</v>
      </c>
      <c r="I15">
        <v>54.28</v>
      </c>
      <c r="J15">
        <v>6144</v>
      </c>
      <c r="K15" s="6">
        <v>0.97</v>
      </c>
      <c r="L15" s="5">
        <v>0.97799999999999998</v>
      </c>
      <c r="M15" s="5">
        <v>0.97399999999999998</v>
      </c>
      <c r="N15" s="5">
        <v>0.96399999999999997</v>
      </c>
      <c r="O15" s="5">
        <v>0.95899999999999996</v>
      </c>
      <c r="P15" s="5">
        <v>0.94299999999999995</v>
      </c>
      <c r="Q15" s="5">
        <v>0.84299999999999997</v>
      </c>
      <c r="R15" s="5">
        <v>0.84</v>
      </c>
      <c r="S15" s="6">
        <v>0.81100000000000005</v>
      </c>
      <c r="T15">
        <v>35</v>
      </c>
      <c r="U15">
        <v>28</v>
      </c>
      <c r="V15">
        <v>34</v>
      </c>
      <c r="W15">
        <v>56</v>
      </c>
      <c r="X15">
        <v>0</v>
      </c>
      <c r="Y15">
        <v>23</v>
      </c>
      <c r="Z15">
        <v>24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0</v>
      </c>
      <c r="AG15" t="s">
        <v>66</v>
      </c>
      <c r="AH15">
        <v>2</v>
      </c>
      <c r="AI15" t="s">
        <v>49</v>
      </c>
      <c r="AJ15">
        <v>256</v>
      </c>
      <c r="AK15">
        <v>2684.1</v>
      </c>
      <c r="AL15">
        <v>5378</v>
      </c>
      <c r="AM15">
        <v>1183.4000000000001</v>
      </c>
      <c r="AN15">
        <v>0</v>
      </c>
      <c r="AO15">
        <v>-1</v>
      </c>
      <c r="AP15" t="s">
        <v>55</v>
      </c>
      <c r="AQ15" t="s">
        <v>56</v>
      </c>
      <c r="AR15">
        <v>20</v>
      </c>
      <c r="AS15" t="s">
        <v>52</v>
      </c>
      <c r="AT15" t="s">
        <v>53</v>
      </c>
    </row>
    <row r="16" spans="1:46" x14ac:dyDescent="0.4">
      <c r="A16" t="s">
        <v>68</v>
      </c>
      <c r="B16" s="1">
        <v>46192</v>
      </c>
      <c r="C16" s="2">
        <v>0.22445601851851851</v>
      </c>
      <c r="D16">
        <v>1000</v>
      </c>
      <c r="E16" s="3">
        <v>18.45</v>
      </c>
      <c r="F16">
        <v>454</v>
      </c>
      <c r="G16">
        <v>296</v>
      </c>
      <c r="H16" s="4">
        <f t="shared" si="2"/>
        <v>750</v>
      </c>
      <c r="I16">
        <v>518.75</v>
      </c>
      <c r="J16">
        <v>6144</v>
      </c>
      <c r="K16" s="6">
        <v>0.97799999999999998</v>
      </c>
      <c r="L16" s="5">
        <v>0.93</v>
      </c>
      <c r="M16" s="5">
        <v>0.92400000000000004</v>
      </c>
      <c r="N16" s="5">
        <v>0.91300000000000003</v>
      </c>
      <c r="O16" s="5">
        <v>0.878</v>
      </c>
      <c r="P16" s="5">
        <v>0.85299999999999998</v>
      </c>
      <c r="Q16" s="5">
        <v>0.72</v>
      </c>
      <c r="R16" s="5">
        <v>0.7</v>
      </c>
      <c r="S16" s="6">
        <v>0.67600000000000005</v>
      </c>
      <c r="T16">
        <v>65</v>
      </c>
      <c r="U16">
        <v>30</v>
      </c>
      <c r="V16">
        <v>27</v>
      </c>
      <c r="W16">
        <v>83</v>
      </c>
      <c r="X16">
        <v>7</v>
      </c>
      <c r="Y16">
        <v>63</v>
      </c>
      <c r="Z16">
        <v>43</v>
      </c>
      <c r="AA16">
        <v>0.998</v>
      </c>
      <c r="AB16">
        <v>1</v>
      </c>
      <c r="AC16">
        <v>1</v>
      </c>
      <c r="AD16">
        <v>0</v>
      </c>
      <c r="AE16">
        <v>0</v>
      </c>
      <c r="AF16">
        <v>0</v>
      </c>
      <c r="AG16" t="s">
        <v>69</v>
      </c>
      <c r="AH16">
        <v>32</v>
      </c>
      <c r="AI16" t="s">
        <v>58</v>
      </c>
      <c r="AJ16">
        <v>128</v>
      </c>
      <c r="AK16">
        <v>3239.3</v>
      </c>
      <c r="AL16">
        <v>5507</v>
      </c>
      <c r="AM16">
        <v>1155.3</v>
      </c>
      <c r="AN16">
        <v>0</v>
      </c>
      <c r="AO16">
        <v>-1</v>
      </c>
      <c r="AP16" t="s">
        <v>59</v>
      </c>
      <c r="AQ16" t="s">
        <v>60</v>
      </c>
      <c r="AR16">
        <v>14</v>
      </c>
      <c r="AS16" t="s">
        <v>52</v>
      </c>
      <c r="AT16" t="s">
        <v>53</v>
      </c>
    </row>
    <row r="17" spans="1:46" x14ac:dyDescent="0.4">
      <c r="A17" t="s">
        <v>70</v>
      </c>
      <c r="B17" s="1">
        <v>46191</v>
      </c>
      <c r="C17" s="2">
        <v>0.77444444444444438</v>
      </c>
      <c r="D17">
        <v>1000</v>
      </c>
      <c r="E17" s="3">
        <v>167.13</v>
      </c>
      <c r="F17">
        <v>454</v>
      </c>
      <c r="G17">
        <v>0</v>
      </c>
      <c r="H17" s="4">
        <f t="shared" si="2"/>
        <v>454</v>
      </c>
      <c r="I17">
        <v>39.82</v>
      </c>
      <c r="J17">
        <v>6144</v>
      </c>
      <c r="K17" s="6">
        <v>0.96599999999999997</v>
      </c>
      <c r="L17" s="5">
        <v>0.97299999999999998</v>
      </c>
      <c r="M17" s="5">
        <v>0.97299999999999998</v>
      </c>
      <c r="N17" s="5">
        <v>0.96699999999999997</v>
      </c>
      <c r="O17" s="5">
        <v>0.96</v>
      </c>
      <c r="P17" s="5">
        <v>0.93899999999999995</v>
      </c>
      <c r="Q17" s="5">
        <v>0.83099999999999996</v>
      </c>
      <c r="R17" s="5">
        <v>0.83499999999999996</v>
      </c>
      <c r="S17" s="6">
        <v>0.81100000000000005</v>
      </c>
      <c r="T17">
        <v>26</v>
      </c>
      <c r="U17">
        <v>23</v>
      </c>
      <c r="V17">
        <v>40</v>
      </c>
      <c r="W17">
        <v>18</v>
      </c>
      <c r="X17">
        <v>0</v>
      </c>
      <c r="Y17">
        <v>43</v>
      </c>
      <c r="Z17">
        <v>47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 t="s">
        <v>66</v>
      </c>
      <c r="AH17">
        <v>1</v>
      </c>
      <c r="AI17" t="s">
        <v>71</v>
      </c>
      <c r="AJ17">
        <v>256</v>
      </c>
      <c r="AK17">
        <v>3038.9</v>
      </c>
      <c r="AL17">
        <v>5807</v>
      </c>
      <c r="AM17">
        <v>1172.3</v>
      </c>
      <c r="AN17">
        <v>0</v>
      </c>
      <c r="AO17">
        <v>-1</v>
      </c>
      <c r="AP17" t="s">
        <v>72</v>
      </c>
      <c r="AQ17" t="s">
        <v>73</v>
      </c>
      <c r="AR17">
        <v>17</v>
      </c>
      <c r="AS17" t="s">
        <v>52</v>
      </c>
      <c r="AT17" t="s">
        <v>53</v>
      </c>
    </row>
    <row r="18" spans="1:46" x14ac:dyDescent="0.4">
      <c r="A18" t="s">
        <v>74</v>
      </c>
      <c r="B18" s="1">
        <v>46191</v>
      </c>
      <c r="C18" s="2">
        <v>0.93593749999999998</v>
      </c>
      <c r="D18">
        <v>1000</v>
      </c>
      <c r="E18" s="3">
        <v>235.15</v>
      </c>
      <c r="F18">
        <v>664</v>
      </c>
      <c r="G18">
        <v>0</v>
      </c>
      <c r="H18" s="4">
        <f t="shared" si="2"/>
        <v>664</v>
      </c>
      <c r="I18">
        <v>42.48</v>
      </c>
      <c r="J18">
        <v>6144</v>
      </c>
      <c r="K18" s="6">
        <v>0.95799999999999996</v>
      </c>
      <c r="L18" s="5">
        <v>0.94899999999999995</v>
      </c>
      <c r="M18" s="5">
        <v>0.94899999999999995</v>
      </c>
      <c r="N18" s="5">
        <v>0.94399999999999995</v>
      </c>
      <c r="O18" s="5">
        <v>0.94</v>
      </c>
      <c r="P18" s="5">
        <v>0.91</v>
      </c>
      <c r="Q18" s="5">
        <v>0.83299999999999996</v>
      </c>
      <c r="R18" s="5">
        <v>0.83299999999999996</v>
      </c>
      <c r="S18" s="6">
        <v>0.82099999999999995</v>
      </c>
      <c r="T18">
        <v>14</v>
      </c>
      <c r="U18">
        <v>3</v>
      </c>
      <c r="V18">
        <v>35</v>
      </c>
      <c r="W18">
        <v>1</v>
      </c>
      <c r="X18">
        <v>0</v>
      </c>
      <c r="Y18">
        <v>17</v>
      </c>
      <c r="Z18">
        <v>22</v>
      </c>
      <c r="AA18">
        <v>0.98</v>
      </c>
      <c r="AB18">
        <v>1</v>
      </c>
      <c r="AC18">
        <v>1</v>
      </c>
      <c r="AD18">
        <v>0</v>
      </c>
      <c r="AE18">
        <v>0</v>
      </c>
      <c r="AF18">
        <v>0</v>
      </c>
      <c r="AG18" t="s">
        <v>66</v>
      </c>
      <c r="AH18">
        <v>1</v>
      </c>
      <c r="AI18" t="s">
        <v>49</v>
      </c>
      <c r="AJ18">
        <v>256</v>
      </c>
      <c r="AK18">
        <v>3980</v>
      </c>
      <c r="AL18">
        <v>5760</v>
      </c>
      <c r="AM18">
        <v>1164.4000000000001</v>
      </c>
      <c r="AN18">
        <v>0</v>
      </c>
      <c r="AO18">
        <v>-1</v>
      </c>
      <c r="AP18" t="s">
        <v>62</v>
      </c>
      <c r="AQ18" t="s">
        <v>63</v>
      </c>
      <c r="AR18">
        <v>17</v>
      </c>
      <c r="AS18" t="s">
        <v>52</v>
      </c>
      <c r="AT18" t="s">
        <v>53</v>
      </c>
    </row>
    <row r="19" spans="1:46" x14ac:dyDescent="0.4">
      <c r="S19" t="s">
        <v>80</v>
      </c>
      <c r="T19" s="7">
        <f>AVERAGE(T14:T18)</f>
        <v>41.6</v>
      </c>
      <c r="U19" s="7">
        <f t="shared" ref="U19:Z19" si="3">AVERAGE(U14:U18)</f>
        <v>22.6</v>
      </c>
      <c r="V19" s="7">
        <f t="shared" si="3"/>
        <v>30</v>
      </c>
      <c r="W19" s="7">
        <f t="shared" si="3"/>
        <v>40.6</v>
      </c>
      <c r="X19" s="7">
        <f t="shared" si="3"/>
        <v>1.6</v>
      </c>
      <c r="Y19" s="7">
        <f t="shared" si="3"/>
        <v>40.200000000000003</v>
      </c>
      <c r="Z19" s="7">
        <f t="shared" si="3"/>
        <v>37.799999999999997</v>
      </c>
    </row>
    <row r="21" spans="1:46" x14ac:dyDescent="0.4">
      <c r="R21" t="s">
        <v>79</v>
      </c>
      <c r="T21" s="8">
        <f>T19/T11</f>
        <v>3.1515151515151518</v>
      </c>
      <c r="U21" s="8">
        <f t="shared" ref="U21:Z21" si="4">U19/U11</f>
        <v>4.9130434782608701</v>
      </c>
      <c r="V21" s="8">
        <f t="shared" si="4"/>
        <v>1.271186440677966</v>
      </c>
      <c r="W21" s="8">
        <f t="shared" si="4"/>
        <v>4.229166666666667</v>
      </c>
      <c r="X21" s="8">
        <f t="shared" si="4"/>
        <v>1.3333333333333335</v>
      </c>
      <c r="Y21" s="8">
        <f t="shared" si="4"/>
        <v>1.415492957746479</v>
      </c>
      <c r="Z21" s="8">
        <f t="shared" si="4"/>
        <v>0.89573459715639803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overallResults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Gerstmayr, Johannes</dc:creator>
  <cp:lastModifiedBy>Gerstmayr, Johannes</cp:lastModifiedBy>
  <dcterms:created xsi:type="dcterms:W3CDTF">2026-06-25T09:24:41Z</dcterms:created>
  <dcterms:modified xsi:type="dcterms:W3CDTF">2026-06-25T12:08:39Z</dcterms:modified>
</cp:coreProperties>
</file>