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8501018\Documents\Arbeit\Papers\2026_SketchesForMBS\LLMPaper2026\misc\preliminaryResults\"/>
    </mc:Choice>
  </mc:AlternateContent>
  <xr:revisionPtr revIDLastSave="0" documentId="13_ncr:1_{39D344A9-16E7-40B5-AE31-16E1675A2D7B}" xr6:coauthVersionLast="47" xr6:coauthVersionMax="47" xr10:uidLastSave="{00000000-0000-0000-0000-000000000000}"/>
  <bookViews>
    <workbookView xWindow="2450" yWindow="2750" windowWidth="37360" windowHeight="15360" xr2:uid="{5905E49D-DCDA-4BE4-A80C-FF2EA9538897}"/>
  </bookViews>
  <sheets>
    <sheet name="overall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0" i="1" l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I40" i="1"/>
  <c r="AK40" i="1"/>
  <c r="AL40" i="1"/>
  <c r="AM40" i="1"/>
  <c r="AN40" i="1"/>
  <c r="AO40" i="1"/>
  <c r="AP40" i="1"/>
  <c r="AS40" i="1"/>
  <c r="E40" i="1"/>
</calcChain>
</file>

<file path=xl/sharedStrings.xml><?xml version="1.0" encoding="utf-8"?>
<sst xmlns="http://schemas.openxmlformats.org/spreadsheetml/2006/main" count="280" uniqueCount="168">
  <si>
    <t>Merge Date</t>
  </si>
  <si>
    <t>Merge Time</t>
  </si>
  <si>
    <t>Case Name</t>
  </si>
  <si>
    <t>eval date</t>
  </si>
  <si>
    <t>eval time</t>
  </si>
  <si>
    <t>nTasks</t>
  </si>
  <si>
    <t>LLM dur. (min)</t>
  </si>
  <si>
    <t>nTokGen (k)</t>
  </si>
  <si>
    <t>nThkTok (k)</t>
  </si>
  <si>
    <t>tokens / s</t>
  </si>
  <si>
    <t>maxCtx (k)</t>
  </si>
  <si>
    <t>choose items</t>
  </si>
  <si>
    <t>reached assemble</t>
  </si>
  <si>
    <t>finished assemble</t>
  </si>
  <si>
    <t>solver init</t>
  </si>
  <si>
    <t>solver success</t>
  </si>
  <si>
    <t>topology match</t>
  </si>
  <si>
    <t>solution match</t>
  </si>
  <si>
    <t>graph content match</t>
  </si>
  <si>
    <t>overall success</t>
  </si>
  <si>
    <t>kin./marker nERR</t>
  </si>
  <si>
    <t>RB ref.conf. nERR</t>
  </si>
  <si>
    <t>vel. nERR</t>
  </si>
  <si>
    <t>inertia/mass nERRs</t>
  </si>
  <si>
    <t>gravity/load nERR</t>
  </si>
  <si>
    <t>connect./constr. nERR</t>
  </si>
  <si>
    <t>other nERR</t>
  </si>
  <si>
    <t>graphs timeout</t>
  </si>
  <si>
    <t>solver Sample timeout</t>
  </si>
  <si>
    <t>solver LLM timeout</t>
  </si>
  <si>
    <t>ctx window exceeded</t>
  </si>
  <si>
    <t>ctx exceeded tok. (max)</t>
  </si>
  <si>
    <t>temperature</t>
  </si>
  <si>
    <t>default temperature</t>
  </si>
  <si>
    <t>thinking</t>
  </si>
  <si>
    <t>batch</t>
  </si>
  <si>
    <t>LLM date</t>
  </si>
  <si>
    <t>LLM ctxSize (k)</t>
  </si>
  <si>
    <t>ctx size used (P95)</t>
  </si>
  <si>
    <t>ctx size used (max)</t>
  </si>
  <si>
    <t>prompt tokens (mean)</t>
  </si>
  <si>
    <t>api cost (EUR)</t>
  </si>
  <si>
    <t>api budget rem. (EUR)</t>
  </si>
  <si>
    <t>LLM full name</t>
  </si>
  <si>
    <t>LLM short name</t>
  </si>
  <si>
    <t>VRAM (GB)</t>
  </si>
  <si>
    <t>GPU</t>
  </si>
  <si>
    <t>pipeline</t>
  </si>
  <si>
    <t>Claude-Opus-4.8</t>
  </si>
  <si>
    <t>False</t>
  </si>
  <si>
    <t>2026-05</t>
  </si>
  <si>
    <t>NVIDIA RTX A6000</t>
  </si>
  <si>
    <t>API</t>
  </si>
  <si>
    <t>codegemma-7B-OL-B12-T0.0</t>
  </si>
  <si>
    <t>2024-08</t>
  </si>
  <si>
    <t>codegemma:7b</t>
  </si>
  <si>
    <t>codegemma-7B-OL</t>
  </si>
  <si>
    <t>NVIDIA GeForce RTX 5090</t>
  </si>
  <si>
    <t>ollama</t>
  </si>
  <si>
    <t>CodeQwen-7B-OL-B24-T0.0</t>
  </si>
  <si>
    <t>2024-04</t>
  </si>
  <si>
    <t>codeqwen:7b</t>
  </si>
  <si>
    <t>CodeQwen-7B-OL</t>
  </si>
  <si>
    <t>deepseek-r1-32B-OL-B2-T0.0</t>
  </si>
  <si>
    <t>deepseek-r1:32b</t>
  </si>
  <si>
    <t>deepseek-r1-32B-OL</t>
  </si>
  <si>
    <t>deepseek-r1-70B-OL-B16-T0.0</t>
  </si>
  <si>
    <t>deepseek-r1:70b</t>
  </si>
  <si>
    <t>deepseek-r1-70B-OL</t>
  </si>
  <si>
    <t>NVIDIA H100 PCIe</t>
  </si>
  <si>
    <t>DeepSeekCoder-16B-OL-B16-T0.0</t>
  </si>
  <si>
    <t>deepseek-coder-v2:latest</t>
  </si>
  <si>
    <t>DeepSeekCoder-16B-OL</t>
  </si>
  <si>
    <t>dolphincoder-15B-OL-B12-T0.0</t>
  </si>
  <si>
    <t>2024-05</t>
  </si>
  <si>
    <t>dolphincoder:15b</t>
  </si>
  <si>
    <t>dolphincoder-15B-OL</t>
  </si>
  <si>
    <t>Gemma4-26B-OL-B8-T0.0</t>
  </si>
  <si>
    <t>2026-04</t>
  </si>
  <si>
    <t>gemma4:26b</t>
  </si>
  <si>
    <t>Gemma4-26B-OL</t>
  </si>
  <si>
    <t>Gemma4-31B-OL-B2-T0.0</t>
  </si>
  <si>
    <t>gemma4:31b</t>
  </si>
  <si>
    <t>Gemma4-31B-OL</t>
  </si>
  <si>
    <t>glm-4.7-flash-30B-OL-B4-T0.0</t>
  </si>
  <si>
    <t>glm-4.7-flash:q4_K_M</t>
  </si>
  <si>
    <t>glm-4.7-flash-30B-OL</t>
  </si>
  <si>
    <t>GPT-5.2</t>
  </si>
  <si>
    <t>2025-12</t>
  </si>
  <si>
    <t>gpt-oss-120B-OL-B8-T0.0</t>
  </si>
  <si>
    <t>low</t>
  </si>
  <si>
    <t>2025-08</t>
  </si>
  <si>
    <t>gpt-oss:120b</t>
  </si>
  <si>
    <t>gpt-oss-120B-OL</t>
  </si>
  <si>
    <t>gpt-oss-20B-OL-B32-T0.0</t>
  </si>
  <si>
    <t>gpt-oss:20b</t>
  </si>
  <si>
    <t>gpt-oss-20B-OL</t>
  </si>
  <si>
    <t>Llama3.1-70B-OL-B16-T0.0</t>
  </si>
  <si>
    <t>2024-07</t>
  </si>
  <si>
    <t>llama3.1:70b</t>
  </si>
  <si>
    <t>Llama3.1-70B-OL</t>
  </si>
  <si>
    <t>Llama3.1-8B-OL-B24-T0.0</t>
  </si>
  <si>
    <t>llama3.1:8b</t>
  </si>
  <si>
    <t>Llama3.1-8B-OL</t>
  </si>
  <si>
    <t>Llama3.3-70B-OL-B16-T0.0</t>
  </si>
  <si>
    <t>2024-12</t>
  </si>
  <si>
    <t>llama3.3:70b</t>
  </si>
  <si>
    <t>Llama3.3-70B-OL</t>
  </si>
  <si>
    <t>ministral-3-14B-OL-B16-T0.0</t>
  </si>
  <si>
    <t>ministral-3:14b</t>
  </si>
  <si>
    <t>ministral-3-14B-OL</t>
  </si>
  <si>
    <t>nemotron-cascade-2-30B-OL-B8-T0.0</t>
  </si>
  <si>
    <t>nemotron-cascade-2:30b</t>
  </si>
  <si>
    <t>nemotron-cascade-2-30B-OL</t>
  </si>
  <si>
    <t>nemotron3-33B-OL-B3-T0.0</t>
  </si>
  <si>
    <t>2025-10</t>
  </si>
  <si>
    <t>nemotron3:33b</t>
  </si>
  <si>
    <t>nemotron3-33B-OL</t>
  </si>
  <si>
    <t>Phi3-OL-B16-T0.0</t>
  </si>
  <si>
    <t>phi3:14b</t>
  </si>
  <si>
    <t>Phi3-OL</t>
  </si>
  <si>
    <t>Phi4-OL-B12-T0.0</t>
  </si>
  <si>
    <t>phi4:latest</t>
  </si>
  <si>
    <t>Phi4-OL</t>
  </si>
  <si>
    <t>Qwen-32B-OL-B8-T0.0</t>
  </si>
  <si>
    <t>2023-09</t>
  </si>
  <si>
    <t>qwen:32b</t>
  </si>
  <si>
    <t>Qwen-32B-OL</t>
  </si>
  <si>
    <t>Qwen-72B-OL-B4-T0.0</t>
  </si>
  <si>
    <t>qwen:72b</t>
  </si>
  <si>
    <t>Qwen-72B-OL</t>
  </si>
  <si>
    <t>Qwen2-72B-OL-B16-T0.0</t>
  </si>
  <si>
    <t>qwen2:72b</t>
  </si>
  <si>
    <t>Qwen2-72B-OL</t>
  </si>
  <si>
    <t>Qwen2-7B-OL-B24-T0.0</t>
  </si>
  <si>
    <t>qwen2:7b</t>
  </si>
  <si>
    <t>Qwen2-7B-OL</t>
  </si>
  <si>
    <t>Qwen3.5-122B-OL-B8-T0.0</t>
  </si>
  <si>
    <t>2026-02</t>
  </si>
  <si>
    <t>qwen3.5:122b</t>
  </si>
  <si>
    <t>Qwen3.5-122B-OL</t>
  </si>
  <si>
    <t>Qwen3.5-27B-OL-T0.0</t>
  </si>
  <si>
    <t>qwen3.5:27b</t>
  </si>
  <si>
    <t>Qwen3.5-27B-OL</t>
  </si>
  <si>
    <t>Qwen3.5-35B-OL-T0.0</t>
  </si>
  <si>
    <t>qwen3.5:35b</t>
  </si>
  <si>
    <t>Qwen3.5-35B-OL</t>
  </si>
  <si>
    <t>Qwen3.5-4B-OL-B32-T0.0</t>
  </si>
  <si>
    <t>qwen3.5:4b</t>
  </si>
  <si>
    <t>Qwen3.5-4B-OL</t>
  </si>
  <si>
    <t>Qwen3.5-9B-OL-B32-T0.0</t>
  </si>
  <si>
    <t>qwen3.5:9b</t>
  </si>
  <si>
    <t>Qwen3.5-9B-OL</t>
  </si>
  <si>
    <t>Qwen3.6-27B-OL-T0.0</t>
  </si>
  <si>
    <t>qwen3.6:27b</t>
  </si>
  <si>
    <t>Qwen3.6-27B-OL</t>
  </si>
  <si>
    <t>Qwen3.6-35B-OL-T0.0</t>
  </si>
  <si>
    <t>qwen3.6:35b</t>
  </si>
  <si>
    <t>Qwen3.6-35B-OL</t>
  </si>
  <si>
    <t>QwenCoder2.5-32B-OL-B4-T0.0</t>
  </si>
  <si>
    <t>2024-09</t>
  </si>
  <si>
    <t>qwen2.5-coder:32b</t>
  </si>
  <si>
    <t>QwenCoder2.5-32B-OL</t>
  </si>
  <si>
    <t>QwenCoder3-30B-OL-B8-T0.0</t>
  </si>
  <si>
    <t>2025-07</t>
  </si>
  <si>
    <t>qwen3-coder:30b</t>
  </si>
  <si>
    <t>QwenCoder3-30B-OL</t>
  </si>
  <si>
    <t>mean top 8 open weights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</si>
</sst>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33" borderId="0" xfId="1" applyNumberFormat="1" applyFont="1" applyFill="1"/>
    <xf numFmtId="164" fontId="0" fillId="34" borderId="0" xfId="1" applyNumberFormat="1" applyFont="1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21" fontId="0" fillId="35" borderId="0" xfId="0" applyNumberFormat="1" applyFill="1"/>
    <xf numFmtId="0" fontId="16" fillId="0" borderId="0" xfId="0" applyFont="1"/>
    <xf numFmtId="164" fontId="16" fillId="0" borderId="0" xfId="1" applyNumberFormat="1" applyFont="1"/>
    <xf numFmtId="0" fontId="0" fillId="36" borderId="0" xfId="0" applyFill="1"/>
    <xf numFmtId="2" fontId="0" fillId="36" borderId="0" xfId="0" applyNumberFormat="1" applyFill="1"/>
    <xf numFmtId="164" fontId="0" fillId="36" borderId="0" xfId="1" applyNumberFormat="1" applyFont="1" applyFill="1"/>
  </cellXfs>
  <cellStyles count="43">
    <cellStyle name="20 % - Akzent1" xfId="20" builtinId="30" customBuiltin="1"/>
    <cellStyle name="20 % - Akzent2" xfId="24" builtinId="34" customBuiltin="1"/>
    <cellStyle name="20 % - Akzent3" xfId="28" builtinId="38" customBuiltin="1"/>
    <cellStyle name="20 % - Akzent4" xfId="32" builtinId="42" customBuiltin="1"/>
    <cellStyle name="20 % - Akzent5" xfId="36" builtinId="46" customBuiltin="1"/>
    <cellStyle name="20 % - Akzent6" xfId="40" builtinId="50" customBuiltin="1"/>
    <cellStyle name="40 % - Akzent1" xfId="21" builtinId="31" customBuiltin="1"/>
    <cellStyle name="40 % - Akzent2" xfId="25" builtinId="35" customBuiltin="1"/>
    <cellStyle name="40 % - Akzent3" xfId="29" builtinId="39" customBuiltin="1"/>
    <cellStyle name="40 % - Akzent4" xfId="33" builtinId="43" customBuiltin="1"/>
    <cellStyle name="40 % - Akzent5" xfId="37" builtinId="47" customBuiltin="1"/>
    <cellStyle name="40 % - Akzent6" xfId="41" builtinId="51" customBuiltin="1"/>
    <cellStyle name="60 % - Akzent1" xfId="22" builtinId="32" customBuiltin="1"/>
    <cellStyle name="60 % - Akzent2" xfId="26" builtinId="36" customBuiltin="1"/>
    <cellStyle name="60 % - Akzent3" xfId="30" builtinId="40" customBuiltin="1"/>
    <cellStyle name="60 % - Akzent4" xfId="34" builtinId="44" customBuiltin="1"/>
    <cellStyle name="60 % - Akzent5" xfId="38" builtinId="48" customBuiltin="1"/>
    <cellStyle name="60 % - Akzent6" xfId="42" builtinId="52" customBuiltin="1"/>
    <cellStyle name="Akzent1" xfId="19" builtinId="29" customBuiltin="1"/>
    <cellStyle name="Akzent2" xfId="23" builtinId="33" customBuiltin="1"/>
    <cellStyle name="Akzent3" xfId="27" builtinId="37" customBuiltin="1"/>
    <cellStyle name="Akzent4" xfId="31" builtinId="41" customBuiltin="1"/>
    <cellStyle name="Akzent5" xfId="35" builtinId="45" customBuiltin="1"/>
    <cellStyle name="Akzent6" xfId="39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8" builtinId="25" customBuiltin="1"/>
    <cellStyle name="Erklärender Text" xfId="17" builtinId="53" customBuiltin="1"/>
    <cellStyle name="Gut" xfId="7" builtinId="26" customBuiltin="1"/>
    <cellStyle name="Neutral" xfId="9" builtinId="28" customBuiltin="1"/>
    <cellStyle name="Notiz" xfId="16" builtinId="10" customBuiltin="1"/>
    <cellStyle name="Prozent" xfId="1" builtinId="5"/>
    <cellStyle name="Schlecht" xfId="8" builtinId="27" customBuiltin="1"/>
    <cellStyle name="Standard" xfId="0" builtinId="0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57F3-8D54-4EDF-BE56-E2F629EB8BDD}">
  <dimension ref="A1:AU40"/>
  <sheetViews>
    <sheetView tabSelected="1" topLeftCell="A4" workbookViewId="0">
      <selection activeCell="B11" sqref="B11"/>
    </sheetView>
  </sheetViews>
  <sheetFormatPr baseColWidth="10" defaultRowHeight="14.5" x14ac:dyDescent="0.35"/>
  <cols>
    <col min="1" max="1" width="2.81640625" bestFit="1" customWidth="1"/>
    <col min="2" max="2" width="25.26953125" customWidth="1"/>
  </cols>
  <sheetData>
    <row r="1" spans="1:47" x14ac:dyDescent="0.35">
      <c r="B1" t="s">
        <v>0</v>
      </c>
      <c r="C1" s="1">
        <v>46198</v>
      </c>
    </row>
    <row r="2" spans="1:47" x14ac:dyDescent="0.35">
      <c r="B2" t="s">
        <v>1</v>
      </c>
      <c r="C2" s="2">
        <v>0.57936342592592593</v>
      </c>
    </row>
    <row r="4" spans="1:47" s="9" customFormat="1" x14ac:dyDescent="0.35"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  <c r="P4" s="10" t="s">
        <v>16</v>
      </c>
      <c r="Q4" s="10" t="s">
        <v>17</v>
      </c>
      <c r="R4" s="10" t="s">
        <v>18</v>
      </c>
      <c r="S4" s="10" t="s">
        <v>19</v>
      </c>
      <c r="T4" s="9" t="s">
        <v>20</v>
      </c>
      <c r="U4" s="9" t="s">
        <v>21</v>
      </c>
      <c r="V4" s="9" t="s">
        <v>22</v>
      </c>
      <c r="W4" s="9" t="s">
        <v>23</v>
      </c>
      <c r="X4" s="9" t="s">
        <v>24</v>
      </c>
      <c r="Y4" s="9" t="s">
        <v>25</v>
      </c>
      <c r="Z4" s="9" t="s">
        <v>26</v>
      </c>
      <c r="AA4" s="9" t="s">
        <v>27</v>
      </c>
      <c r="AB4" s="9" t="s">
        <v>28</v>
      </c>
      <c r="AC4" s="9" t="s">
        <v>29</v>
      </c>
      <c r="AD4" s="9" t="s">
        <v>30</v>
      </c>
      <c r="AE4" s="9" t="s">
        <v>31</v>
      </c>
      <c r="AF4" s="9" t="s">
        <v>32</v>
      </c>
      <c r="AG4" s="9" t="s">
        <v>33</v>
      </c>
      <c r="AH4" s="9" t="s">
        <v>34</v>
      </c>
      <c r="AI4" s="9" t="s">
        <v>35</v>
      </c>
      <c r="AJ4" s="9" t="s">
        <v>36</v>
      </c>
      <c r="AK4" s="9" t="s">
        <v>37</v>
      </c>
      <c r="AL4" s="9" t="s">
        <v>38</v>
      </c>
      <c r="AM4" s="9" t="s">
        <v>39</v>
      </c>
      <c r="AN4" s="9" t="s">
        <v>40</v>
      </c>
      <c r="AO4" s="9" t="s">
        <v>41</v>
      </c>
      <c r="AP4" s="9" t="s">
        <v>42</v>
      </c>
      <c r="AQ4" s="9" t="s">
        <v>43</v>
      </c>
      <c r="AR4" s="9" t="s">
        <v>44</v>
      </c>
      <c r="AS4" s="9" t="s">
        <v>45</v>
      </c>
      <c r="AT4" s="9" t="s">
        <v>46</v>
      </c>
      <c r="AU4" s="9" t="s">
        <v>47</v>
      </c>
    </row>
    <row r="5" spans="1:47" x14ac:dyDescent="0.35">
      <c r="A5">
        <v>1</v>
      </c>
      <c r="B5" s="6" t="s">
        <v>48</v>
      </c>
      <c r="C5" s="7">
        <v>46191</v>
      </c>
      <c r="D5" s="8">
        <v>0.5774421296296296</v>
      </c>
      <c r="E5" s="6">
        <v>1000</v>
      </c>
      <c r="F5" s="6">
        <v>231.03</v>
      </c>
      <c r="G5" s="6">
        <v>1083</v>
      </c>
      <c r="H5" s="6">
        <v>0</v>
      </c>
      <c r="I5" s="6">
        <v>65.27</v>
      </c>
      <c r="J5" s="6">
        <v>0</v>
      </c>
      <c r="K5" s="3">
        <v>0.99399999999999999</v>
      </c>
      <c r="L5" s="4">
        <v>0.997</v>
      </c>
      <c r="M5" s="4">
        <v>0.997</v>
      </c>
      <c r="N5" s="4">
        <v>0.997</v>
      </c>
      <c r="O5" s="4">
        <v>0.997</v>
      </c>
      <c r="P5" s="4">
        <v>0.99199999999999999</v>
      </c>
      <c r="Q5" s="4">
        <v>0.96099999999999997</v>
      </c>
      <c r="R5" s="4">
        <v>0.93200000000000005</v>
      </c>
      <c r="S5" s="4">
        <v>0.91400000000000003</v>
      </c>
      <c r="T5">
        <v>2</v>
      </c>
      <c r="U5">
        <v>0</v>
      </c>
      <c r="V5">
        <v>3</v>
      </c>
      <c r="W5">
        <v>0</v>
      </c>
      <c r="X5">
        <v>0</v>
      </c>
      <c r="Y5">
        <v>2</v>
      </c>
      <c r="Z5">
        <v>65</v>
      </c>
      <c r="AA5">
        <v>0.99</v>
      </c>
      <c r="AB5">
        <v>1</v>
      </c>
      <c r="AC5">
        <v>1</v>
      </c>
      <c r="AD5">
        <v>0</v>
      </c>
      <c r="AE5">
        <v>0</v>
      </c>
      <c r="AF5">
        <v>-1</v>
      </c>
      <c r="AG5">
        <v>1</v>
      </c>
      <c r="AH5" t="s">
        <v>49</v>
      </c>
      <c r="AI5">
        <v>1</v>
      </c>
      <c r="AJ5" t="s">
        <v>50</v>
      </c>
      <c r="AK5">
        <v>-1</v>
      </c>
      <c r="AL5">
        <v>0</v>
      </c>
      <c r="AM5">
        <v>0</v>
      </c>
      <c r="AN5">
        <v>0</v>
      </c>
      <c r="AO5">
        <v>39.514899999999997</v>
      </c>
      <c r="AP5">
        <v>2.4851000000000001</v>
      </c>
      <c r="AQ5" t="s">
        <v>48</v>
      </c>
      <c r="AR5" t="s">
        <v>48</v>
      </c>
      <c r="AS5">
        <v>-1</v>
      </c>
      <c r="AT5" t="s">
        <v>51</v>
      </c>
      <c r="AU5" t="s">
        <v>52</v>
      </c>
    </row>
    <row r="6" spans="1:47" x14ac:dyDescent="0.35">
      <c r="A6">
        <v>2</v>
      </c>
      <c r="B6" s="6" t="s">
        <v>87</v>
      </c>
      <c r="C6" s="7">
        <v>46195</v>
      </c>
      <c r="D6" s="8">
        <v>0.4213541666666667</v>
      </c>
      <c r="E6" s="6">
        <v>1000</v>
      </c>
      <c r="F6" s="6">
        <v>284.61</v>
      </c>
      <c r="G6" s="6">
        <v>950</v>
      </c>
      <c r="H6" s="6">
        <v>0</v>
      </c>
      <c r="I6" s="6">
        <v>41.53</v>
      </c>
      <c r="J6" s="6">
        <v>0</v>
      </c>
      <c r="K6" s="3">
        <v>0.98599999999999999</v>
      </c>
      <c r="L6" s="4">
        <v>0.997</v>
      </c>
      <c r="M6" s="4">
        <v>0.997</v>
      </c>
      <c r="N6" s="3">
        <v>0.99</v>
      </c>
      <c r="O6" s="3">
        <v>0.98899999999999999</v>
      </c>
      <c r="P6" s="3">
        <v>0.98199999999999998</v>
      </c>
      <c r="Q6" s="3">
        <v>0.91500000000000004</v>
      </c>
      <c r="R6" s="3">
        <v>0.90300000000000002</v>
      </c>
      <c r="S6" s="3">
        <v>0.86</v>
      </c>
      <c r="T6">
        <v>22</v>
      </c>
      <c r="U6">
        <v>1</v>
      </c>
      <c r="V6">
        <v>5</v>
      </c>
      <c r="W6">
        <v>4</v>
      </c>
      <c r="X6">
        <v>0</v>
      </c>
      <c r="Y6">
        <v>61</v>
      </c>
      <c r="Z6">
        <v>82</v>
      </c>
      <c r="AA6">
        <v>1</v>
      </c>
      <c r="AB6">
        <v>1</v>
      </c>
      <c r="AC6">
        <v>1</v>
      </c>
      <c r="AD6">
        <v>0</v>
      </c>
      <c r="AE6">
        <v>0</v>
      </c>
      <c r="AF6">
        <v>-1</v>
      </c>
      <c r="AG6">
        <v>1</v>
      </c>
      <c r="AH6" t="s">
        <v>49</v>
      </c>
      <c r="AI6">
        <v>1</v>
      </c>
      <c r="AJ6" t="s">
        <v>88</v>
      </c>
      <c r="AK6">
        <v>-1</v>
      </c>
      <c r="AL6">
        <v>0</v>
      </c>
      <c r="AM6">
        <v>0</v>
      </c>
      <c r="AN6">
        <v>0</v>
      </c>
      <c r="AO6">
        <v>18.154800000000002</v>
      </c>
      <c r="AP6">
        <v>14.8452</v>
      </c>
      <c r="AQ6" t="s">
        <v>87</v>
      </c>
      <c r="AR6" t="s">
        <v>87</v>
      </c>
      <c r="AS6">
        <v>-1</v>
      </c>
      <c r="AT6" t="s">
        <v>51</v>
      </c>
      <c r="AU6" t="s">
        <v>52</v>
      </c>
    </row>
    <row r="7" spans="1:47" x14ac:dyDescent="0.35">
      <c r="A7">
        <v>3</v>
      </c>
      <c r="B7" t="s">
        <v>153</v>
      </c>
      <c r="C7" s="1">
        <v>46191</v>
      </c>
      <c r="D7" s="2">
        <v>0.93593749999999998</v>
      </c>
      <c r="E7">
        <v>1000</v>
      </c>
      <c r="F7">
        <v>235.15</v>
      </c>
      <c r="G7">
        <v>664</v>
      </c>
      <c r="H7">
        <v>0</v>
      </c>
      <c r="I7">
        <v>42.48</v>
      </c>
      <c r="J7">
        <v>6144</v>
      </c>
      <c r="K7" s="3">
        <v>0.95799999999999996</v>
      </c>
      <c r="L7" s="3">
        <v>0.94899999999999995</v>
      </c>
      <c r="M7" s="3">
        <v>0.94899999999999995</v>
      </c>
      <c r="N7" s="3">
        <v>0.94399999999999995</v>
      </c>
      <c r="O7" s="3">
        <v>0.94</v>
      </c>
      <c r="P7" s="3">
        <v>0.91</v>
      </c>
      <c r="Q7" s="3">
        <v>0.83299999999999996</v>
      </c>
      <c r="R7" s="3">
        <v>0.83299999999999996</v>
      </c>
      <c r="S7" s="3">
        <v>0.82099999999999995</v>
      </c>
      <c r="T7">
        <v>14</v>
      </c>
      <c r="U7">
        <v>3</v>
      </c>
      <c r="V7">
        <v>35</v>
      </c>
      <c r="W7">
        <v>1</v>
      </c>
      <c r="X7">
        <v>0</v>
      </c>
      <c r="Y7">
        <v>17</v>
      </c>
      <c r="Z7">
        <v>22</v>
      </c>
      <c r="AA7">
        <v>0.98</v>
      </c>
      <c r="AB7">
        <v>1</v>
      </c>
      <c r="AC7">
        <v>1</v>
      </c>
      <c r="AD7">
        <v>0</v>
      </c>
      <c r="AE7">
        <v>0</v>
      </c>
      <c r="AF7">
        <v>0</v>
      </c>
      <c r="AG7">
        <v>1</v>
      </c>
      <c r="AH7" t="s">
        <v>49</v>
      </c>
      <c r="AI7">
        <v>1</v>
      </c>
      <c r="AJ7" t="s">
        <v>78</v>
      </c>
      <c r="AK7">
        <v>256</v>
      </c>
      <c r="AL7">
        <v>3980</v>
      </c>
      <c r="AM7">
        <v>5760</v>
      </c>
      <c r="AN7">
        <v>1164.4000000000001</v>
      </c>
      <c r="AO7">
        <v>0</v>
      </c>
      <c r="AP7">
        <v>-1</v>
      </c>
      <c r="AQ7" t="s">
        <v>154</v>
      </c>
      <c r="AR7" t="s">
        <v>155</v>
      </c>
      <c r="AS7">
        <v>17</v>
      </c>
      <c r="AT7" t="s">
        <v>57</v>
      </c>
      <c r="AU7" t="s">
        <v>58</v>
      </c>
    </row>
    <row r="8" spans="1:47" x14ac:dyDescent="0.35">
      <c r="A8">
        <v>4</v>
      </c>
      <c r="B8" t="s">
        <v>81</v>
      </c>
      <c r="C8" s="1">
        <v>46191</v>
      </c>
      <c r="D8" s="2">
        <v>0.66046296296296292</v>
      </c>
      <c r="E8">
        <v>1000</v>
      </c>
      <c r="F8">
        <v>108.53</v>
      </c>
      <c r="G8">
        <v>521</v>
      </c>
      <c r="H8">
        <v>0</v>
      </c>
      <c r="I8">
        <v>54.28</v>
      </c>
      <c r="J8">
        <v>6144</v>
      </c>
      <c r="K8" s="3">
        <v>0.97</v>
      </c>
      <c r="L8" s="3">
        <v>0.97799999999999998</v>
      </c>
      <c r="M8" s="3">
        <v>0.97399999999999998</v>
      </c>
      <c r="N8" s="3">
        <v>0.96399999999999997</v>
      </c>
      <c r="O8" s="3">
        <v>0.95899999999999996</v>
      </c>
      <c r="P8" s="3">
        <v>0.94299999999999995</v>
      </c>
      <c r="Q8" s="3">
        <v>0.84299999999999997</v>
      </c>
      <c r="R8" s="3">
        <v>0.84</v>
      </c>
      <c r="S8" s="3">
        <v>0.81100000000000005</v>
      </c>
      <c r="T8">
        <v>35</v>
      </c>
      <c r="U8">
        <v>28</v>
      </c>
      <c r="V8">
        <v>34</v>
      </c>
      <c r="W8">
        <v>56</v>
      </c>
      <c r="X8">
        <v>0</v>
      </c>
      <c r="Y8">
        <v>23</v>
      </c>
      <c r="Z8">
        <v>24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1</v>
      </c>
      <c r="AH8" t="s">
        <v>49</v>
      </c>
      <c r="AI8">
        <v>2</v>
      </c>
      <c r="AJ8" t="s">
        <v>78</v>
      </c>
      <c r="AK8">
        <v>256</v>
      </c>
      <c r="AL8">
        <v>2684.1</v>
      </c>
      <c r="AM8">
        <v>5378</v>
      </c>
      <c r="AN8">
        <v>1183.4000000000001</v>
      </c>
      <c r="AO8">
        <v>0</v>
      </c>
      <c r="AP8">
        <v>-1</v>
      </c>
      <c r="AQ8" t="s">
        <v>82</v>
      </c>
      <c r="AR8" t="s">
        <v>83</v>
      </c>
      <c r="AS8">
        <v>20</v>
      </c>
      <c r="AT8" t="s">
        <v>57</v>
      </c>
      <c r="AU8" t="s">
        <v>58</v>
      </c>
    </row>
    <row r="9" spans="1:47" x14ac:dyDescent="0.35">
      <c r="A9">
        <v>5</v>
      </c>
      <c r="B9" t="s">
        <v>141</v>
      </c>
      <c r="C9" s="1">
        <v>46191</v>
      </c>
      <c r="D9" s="2">
        <v>0.77444444444444438</v>
      </c>
      <c r="E9">
        <v>1000</v>
      </c>
      <c r="F9">
        <v>167.13</v>
      </c>
      <c r="G9">
        <v>454</v>
      </c>
      <c r="H9">
        <v>0</v>
      </c>
      <c r="I9">
        <v>39.82</v>
      </c>
      <c r="J9">
        <v>6144</v>
      </c>
      <c r="K9" s="3">
        <v>0.96599999999999997</v>
      </c>
      <c r="L9" s="3">
        <v>0.97299999999999998</v>
      </c>
      <c r="M9" s="3">
        <v>0.97299999999999998</v>
      </c>
      <c r="N9" s="3">
        <v>0.96699999999999997</v>
      </c>
      <c r="O9" s="3">
        <v>0.96</v>
      </c>
      <c r="P9" s="3">
        <v>0.93899999999999995</v>
      </c>
      <c r="Q9" s="3">
        <v>0.83099999999999996</v>
      </c>
      <c r="R9" s="3">
        <v>0.83499999999999996</v>
      </c>
      <c r="S9" s="3">
        <v>0.81100000000000005</v>
      </c>
      <c r="T9">
        <v>26</v>
      </c>
      <c r="U9">
        <v>23</v>
      </c>
      <c r="V9">
        <v>40</v>
      </c>
      <c r="W9">
        <v>18</v>
      </c>
      <c r="X9">
        <v>0</v>
      </c>
      <c r="Y9">
        <v>43</v>
      </c>
      <c r="Z9">
        <v>47</v>
      </c>
      <c r="AA9">
        <v>1</v>
      </c>
      <c r="AB9">
        <v>1</v>
      </c>
      <c r="AC9">
        <v>1</v>
      </c>
      <c r="AD9">
        <v>0</v>
      </c>
      <c r="AE9">
        <v>0</v>
      </c>
      <c r="AF9">
        <v>0</v>
      </c>
      <c r="AG9">
        <v>1</v>
      </c>
      <c r="AH9" t="s">
        <v>49</v>
      </c>
      <c r="AI9">
        <v>1</v>
      </c>
      <c r="AJ9" t="s">
        <v>138</v>
      </c>
      <c r="AK9">
        <v>256</v>
      </c>
      <c r="AL9">
        <v>3038.9</v>
      </c>
      <c r="AM9">
        <v>5807</v>
      </c>
      <c r="AN9">
        <v>1172.3</v>
      </c>
      <c r="AO9">
        <v>0</v>
      </c>
      <c r="AP9">
        <v>-1</v>
      </c>
      <c r="AQ9" t="s">
        <v>142</v>
      </c>
      <c r="AR9" t="s">
        <v>143</v>
      </c>
      <c r="AS9">
        <v>17</v>
      </c>
      <c r="AT9" t="s">
        <v>57</v>
      </c>
      <c r="AU9" t="s">
        <v>58</v>
      </c>
    </row>
    <row r="10" spans="1:47" x14ac:dyDescent="0.35">
      <c r="A10">
        <v>6</v>
      </c>
      <c r="B10" t="s">
        <v>89</v>
      </c>
      <c r="C10" s="1">
        <v>46192</v>
      </c>
      <c r="D10" s="2">
        <v>0.2880671296296296</v>
      </c>
      <c r="E10">
        <v>1000</v>
      </c>
      <c r="F10">
        <v>73.86</v>
      </c>
      <c r="G10">
        <v>485</v>
      </c>
      <c r="H10">
        <v>208</v>
      </c>
      <c r="I10">
        <v>116.67</v>
      </c>
      <c r="J10">
        <v>6144</v>
      </c>
      <c r="K10" s="3">
        <v>0.97599999999999998</v>
      </c>
      <c r="L10" s="3">
        <v>0.91500000000000004</v>
      </c>
      <c r="M10" s="3">
        <v>0.91200000000000003</v>
      </c>
      <c r="N10" s="3">
        <v>0.90500000000000003</v>
      </c>
      <c r="O10" s="3">
        <v>0.89500000000000002</v>
      </c>
      <c r="P10" s="3">
        <v>0.86899999999999999</v>
      </c>
      <c r="Q10" s="3">
        <v>0.77900000000000003</v>
      </c>
      <c r="R10" s="3">
        <v>0.752</v>
      </c>
      <c r="S10" s="3">
        <v>0.73299999999999998</v>
      </c>
      <c r="T10">
        <v>39</v>
      </c>
      <c r="U10">
        <v>11</v>
      </c>
      <c r="V10">
        <v>30</v>
      </c>
      <c r="W10">
        <v>28</v>
      </c>
      <c r="X10">
        <v>7</v>
      </c>
      <c r="Y10">
        <v>34</v>
      </c>
      <c r="Z10">
        <v>53</v>
      </c>
      <c r="AA10">
        <v>0.99199999999999999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1</v>
      </c>
      <c r="AH10" t="s">
        <v>90</v>
      </c>
      <c r="AI10">
        <v>8</v>
      </c>
      <c r="AJ10" t="s">
        <v>91</v>
      </c>
      <c r="AK10">
        <v>128</v>
      </c>
      <c r="AL10">
        <v>3039.4</v>
      </c>
      <c r="AM10">
        <v>4629</v>
      </c>
      <c r="AN10">
        <v>1152.3</v>
      </c>
      <c r="AO10">
        <v>0</v>
      </c>
      <c r="AP10">
        <v>-1</v>
      </c>
      <c r="AQ10" t="s">
        <v>92</v>
      </c>
      <c r="AR10" t="s">
        <v>93</v>
      </c>
      <c r="AS10">
        <v>65</v>
      </c>
      <c r="AT10" t="s">
        <v>69</v>
      </c>
      <c r="AU10" t="s">
        <v>58</v>
      </c>
    </row>
    <row r="11" spans="1:47" x14ac:dyDescent="0.35">
      <c r="A11">
        <v>7</v>
      </c>
      <c r="B11" t="s">
        <v>144</v>
      </c>
      <c r="C11" s="1">
        <v>46192</v>
      </c>
      <c r="D11" s="2">
        <v>0.44310185185185186</v>
      </c>
      <c r="E11">
        <v>1000</v>
      </c>
      <c r="F11">
        <v>83.63</v>
      </c>
      <c r="G11">
        <v>523</v>
      </c>
      <c r="H11">
        <v>0</v>
      </c>
      <c r="I11">
        <v>98.53</v>
      </c>
      <c r="J11">
        <v>6144</v>
      </c>
      <c r="K11" s="3">
        <v>0.95499999999999996</v>
      </c>
      <c r="L11" s="3">
        <v>0.93400000000000005</v>
      </c>
      <c r="M11" s="3">
        <v>0.93400000000000005</v>
      </c>
      <c r="N11" s="3">
        <v>0.91400000000000003</v>
      </c>
      <c r="O11" s="3">
        <v>0.84599999999999997</v>
      </c>
      <c r="P11" s="3">
        <v>0.85299999999999998</v>
      </c>
      <c r="Q11" s="3">
        <v>0.73199999999999998</v>
      </c>
      <c r="R11" s="3">
        <v>0.71699999999999997</v>
      </c>
      <c r="S11" s="3">
        <v>0.70299999999999996</v>
      </c>
      <c r="T11">
        <v>81</v>
      </c>
      <c r="U11">
        <v>16</v>
      </c>
      <c r="V11">
        <v>33</v>
      </c>
      <c r="W11">
        <v>14</v>
      </c>
      <c r="X11">
        <v>1</v>
      </c>
      <c r="Y11">
        <v>38</v>
      </c>
      <c r="Z11">
        <v>37</v>
      </c>
      <c r="AA11">
        <v>0.998</v>
      </c>
      <c r="AB11">
        <v>1</v>
      </c>
      <c r="AC11">
        <v>1</v>
      </c>
      <c r="AD11">
        <v>1.4E-2</v>
      </c>
      <c r="AE11">
        <v>2917</v>
      </c>
      <c r="AF11">
        <v>0</v>
      </c>
      <c r="AG11">
        <v>1</v>
      </c>
      <c r="AH11" t="s">
        <v>49</v>
      </c>
      <c r="AI11">
        <v>1</v>
      </c>
      <c r="AJ11" t="s">
        <v>138</v>
      </c>
      <c r="AK11">
        <v>128</v>
      </c>
      <c r="AL11">
        <v>4478</v>
      </c>
      <c r="AM11">
        <v>9061</v>
      </c>
      <c r="AN11">
        <v>1286</v>
      </c>
      <c r="AO11">
        <v>0</v>
      </c>
      <c r="AP11">
        <v>-1</v>
      </c>
      <c r="AQ11" t="s">
        <v>145</v>
      </c>
      <c r="AR11" t="s">
        <v>146</v>
      </c>
      <c r="AS11">
        <v>24</v>
      </c>
      <c r="AT11" t="s">
        <v>57</v>
      </c>
      <c r="AU11" t="s">
        <v>58</v>
      </c>
    </row>
    <row r="12" spans="1:47" x14ac:dyDescent="0.35">
      <c r="A12">
        <v>9</v>
      </c>
      <c r="B12" t="s">
        <v>94</v>
      </c>
      <c r="C12" s="1">
        <v>46192</v>
      </c>
      <c r="D12" s="2">
        <v>0.22445601851851851</v>
      </c>
      <c r="E12">
        <v>1000</v>
      </c>
      <c r="F12">
        <v>18.45</v>
      </c>
      <c r="G12">
        <v>454</v>
      </c>
      <c r="H12">
        <v>296</v>
      </c>
      <c r="I12" s="5">
        <v>518.75</v>
      </c>
      <c r="J12">
        <v>6144</v>
      </c>
      <c r="K12" s="3">
        <v>0.97799999999999998</v>
      </c>
      <c r="L12" s="3">
        <v>0.93</v>
      </c>
      <c r="M12" s="3">
        <v>0.92400000000000004</v>
      </c>
      <c r="N12" s="3">
        <v>0.91300000000000003</v>
      </c>
      <c r="O12" s="3">
        <v>0.878</v>
      </c>
      <c r="P12" s="3">
        <v>0.85299999999999998</v>
      </c>
      <c r="Q12" s="3">
        <v>0.72</v>
      </c>
      <c r="R12" s="3">
        <v>0.7</v>
      </c>
      <c r="S12" s="3">
        <v>0.67600000000000005</v>
      </c>
      <c r="T12">
        <v>65</v>
      </c>
      <c r="U12">
        <v>30</v>
      </c>
      <c r="V12">
        <v>27</v>
      </c>
      <c r="W12">
        <v>83</v>
      </c>
      <c r="X12">
        <v>7</v>
      </c>
      <c r="Y12">
        <v>63</v>
      </c>
      <c r="Z12">
        <v>43</v>
      </c>
      <c r="AA12">
        <v>0.998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1</v>
      </c>
      <c r="AH12" t="s">
        <v>90</v>
      </c>
      <c r="AI12">
        <v>32</v>
      </c>
      <c r="AJ12" t="s">
        <v>91</v>
      </c>
      <c r="AK12">
        <v>128</v>
      </c>
      <c r="AL12">
        <v>3239.3</v>
      </c>
      <c r="AM12">
        <v>5507</v>
      </c>
      <c r="AN12">
        <v>1155.3</v>
      </c>
      <c r="AO12">
        <v>0</v>
      </c>
      <c r="AP12">
        <v>-1</v>
      </c>
      <c r="AQ12" t="s">
        <v>95</v>
      </c>
      <c r="AR12" t="s">
        <v>96</v>
      </c>
      <c r="AS12">
        <v>14</v>
      </c>
      <c r="AT12" t="s">
        <v>57</v>
      </c>
      <c r="AU12" t="s">
        <v>58</v>
      </c>
    </row>
    <row r="13" spans="1:47" x14ac:dyDescent="0.35">
      <c r="A13">
        <v>10</v>
      </c>
      <c r="B13" t="s">
        <v>77</v>
      </c>
      <c r="C13" s="1">
        <v>46192</v>
      </c>
      <c r="D13" s="2">
        <v>0.18465277777777778</v>
      </c>
      <c r="E13">
        <v>1000</v>
      </c>
      <c r="F13">
        <v>33.08</v>
      </c>
      <c r="G13">
        <v>622</v>
      </c>
      <c r="H13">
        <v>0</v>
      </c>
      <c r="I13">
        <v>186.05</v>
      </c>
      <c r="J13">
        <v>6144</v>
      </c>
      <c r="K13" s="4">
        <v>0.999</v>
      </c>
      <c r="L13" s="3">
        <v>0.89100000000000001</v>
      </c>
      <c r="M13" s="3">
        <v>0.88900000000000001</v>
      </c>
      <c r="N13" s="3">
        <v>0.88300000000000001</v>
      </c>
      <c r="O13" s="3">
        <v>0.84699999999999998</v>
      </c>
      <c r="P13" s="3">
        <v>0.84499999999999997</v>
      </c>
      <c r="Q13" s="3">
        <v>0.70199999999999996</v>
      </c>
      <c r="R13" s="3">
        <v>0.66600000000000004</v>
      </c>
      <c r="S13" s="3">
        <v>0.66</v>
      </c>
      <c r="T13">
        <v>68</v>
      </c>
      <c r="U13">
        <v>29</v>
      </c>
      <c r="V13">
        <v>14</v>
      </c>
      <c r="W13">
        <v>45</v>
      </c>
      <c r="X13">
        <v>1</v>
      </c>
      <c r="Y13">
        <v>55</v>
      </c>
      <c r="Z13">
        <v>53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1</v>
      </c>
      <c r="AH13" t="s">
        <v>49</v>
      </c>
      <c r="AI13">
        <v>8</v>
      </c>
      <c r="AJ13" t="s">
        <v>78</v>
      </c>
      <c r="AK13">
        <v>256</v>
      </c>
      <c r="AL13">
        <v>3166.5</v>
      </c>
      <c r="AM13">
        <v>5878</v>
      </c>
      <c r="AN13">
        <v>1191.8</v>
      </c>
      <c r="AO13">
        <v>0</v>
      </c>
      <c r="AP13">
        <v>-1</v>
      </c>
      <c r="AQ13" t="s">
        <v>79</v>
      </c>
      <c r="AR13" t="s">
        <v>80</v>
      </c>
      <c r="AS13">
        <v>18</v>
      </c>
      <c r="AT13" t="s">
        <v>57</v>
      </c>
      <c r="AU13" t="s">
        <v>58</v>
      </c>
    </row>
    <row r="14" spans="1:47" x14ac:dyDescent="0.35">
      <c r="A14">
        <v>11</v>
      </c>
      <c r="B14" t="s">
        <v>137</v>
      </c>
      <c r="C14" s="1">
        <v>46192</v>
      </c>
      <c r="D14" s="2">
        <v>1.2812499999999999E-2</v>
      </c>
      <c r="E14">
        <v>1000</v>
      </c>
      <c r="F14">
        <v>235.26</v>
      </c>
      <c r="G14">
        <v>625</v>
      </c>
      <c r="H14">
        <v>0</v>
      </c>
      <c r="I14">
        <v>41.6</v>
      </c>
      <c r="J14">
        <v>6144</v>
      </c>
      <c r="K14" s="3">
        <v>0.86599999999999999</v>
      </c>
      <c r="L14" s="3">
        <v>0.95799999999999996</v>
      </c>
      <c r="M14" s="3">
        <v>0.94899999999999995</v>
      </c>
      <c r="N14" s="3">
        <v>0.93500000000000005</v>
      </c>
      <c r="O14" s="3">
        <v>0.88300000000000001</v>
      </c>
      <c r="P14" s="3">
        <v>0.876</v>
      </c>
      <c r="Q14" s="3">
        <v>0.76400000000000001</v>
      </c>
      <c r="R14" s="3">
        <v>0.74099999999999999</v>
      </c>
      <c r="S14" s="3">
        <v>0.625</v>
      </c>
      <c r="T14">
        <v>69</v>
      </c>
      <c r="U14">
        <v>41</v>
      </c>
      <c r="V14">
        <v>32</v>
      </c>
      <c r="W14">
        <v>43</v>
      </c>
      <c r="X14">
        <v>0</v>
      </c>
      <c r="Y14">
        <v>34</v>
      </c>
      <c r="Z14">
        <v>46</v>
      </c>
      <c r="AA14">
        <v>0.98899999999999999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 t="s">
        <v>49</v>
      </c>
      <c r="AI14">
        <v>8</v>
      </c>
      <c r="AJ14" t="s">
        <v>138</v>
      </c>
      <c r="AK14">
        <v>256</v>
      </c>
      <c r="AL14">
        <v>3735.4</v>
      </c>
      <c r="AM14">
        <v>5814</v>
      </c>
      <c r="AN14">
        <v>1155.3</v>
      </c>
      <c r="AO14">
        <v>0</v>
      </c>
      <c r="AP14">
        <v>-1</v>
      </c>
      <c r="AQ14" t="s">
        <v>139</v>
      </c>
      <c r="AR14" t="s">
        <v>140</v>
      </c>
      <c r="AS14">
        <v>81</v>
      </c>
      <c r="AT14" t="s">
        <v>69</v>
      </c>
      <c r="AU14" t="s">
        <v>58</v>
      </c>
    </row>
    <row r="15" spans="1:47" x14ac:dyDescent="0.35">
      <c r="A15">
        <v>12</v>
      </c>
      <c r="B15" t="s">
        <v>156</v>
      </c>
      <c r="C15" s="1">
        <v>46192</v>
      </c>
      <c r="D15" s="2">
        <v>0.36379629629629634</v>
      </c>
      <c r="E15">
        <v>1000</v>
      </c>
      <c r="F15">
        <v>107.62</v>
      </c>
      <c r="G15">
        <v>700</v>
      </c>
      <c r="H15">
        <v>0</v>
      </c>
      <c r="I15">
        <v>104.79</v>
      </c>
      <c r="J15">
        <v>6144</v>
      </c>
      <c r="K15" s="3">
        <v>0.92700000000000005</v>
      </c>
      <c r="L15" s="3">
        <v>0.84599999999999997</v>
      </c>
      <c r="M15" s="3">
        <v>0.83699999999999997</v>
      </c>
      <c r="N15" s="3">
        <v>0.82299999999999995</v>
      </c>
      <c r="O15" s="3">
        <v>0.79300000000000004</v>
      </c>
      <c r="P15" s="3">
        <v>0.77</v>
      </c>
      <c r="Q15" s="3">
        <v>0.69</v>
      </c>
      <c r="R15" s="3">
        <v>0.65800000000000003</v>
      </c>
      <c r="S15" s="3">
        <v>0.60699999999999998</v>
      </c>
      <c r="T15">
        <v>54</v>
      </c>
      <c r="U15">
        <v>11</v>
      </c>
      <c r="V15">
        <v>16</v>
      </c>
      <c r="W15">
        <v>24</v>
      </c>
      <c r="X15">
        <v>10</v>
      </c>
      <c r="Y15">
        <v>33</v>
      </c>
      <c r="Z15">
        <v>24</v>
      </c>
      <c r="AA15">
        <v>1</v>
      </c>
      <c r="AB15">
        <v>1</v>
      </c>
      <c r="AC15">
        <v>1</v>
      </c>
      <c r="AD15">
        <v>0</v>
      </c>
      <c r="AE15">
        <v>0</v>
      </c>
      <c r="AF15">
        <v>0</v>
      </c>
      <c r="AG15">
        <v>1</v>
      </c>
      <c r="AH15" t="s">
        <v>49</v>
      </c>
      <c r="AI15">
        <v>1</v>
      </c>
      <c r="AJ15" t="s">
        <v>78</v>
      </c>
      <c r="AK15">
        <v>256</v>
      </c>
      <c r="AL15">
        <v>4481.8999999999996</v>
      </c>
      <c r="AM15">
        <v>5931</v>
      </c>
      <c r="AN15">
        <v>1191.4000000000001</v>
      </c>
      <c r="AO15">
        <v>0</v>
      </c>
      <c r="AP15">
        <v>-1</v>
      </c>
      <c r="AQ15" t="s">
        <v>157</v>
      </c>
      <c r="AR15" t="s">
        <v>158</v>
      </c>
      <c r="AS15">
        <v>24</v>
      </c>
      <c r="AT15" t="s">
        <v>57</v>
      </c>
      <c r="AU15" t="s">
        <v>58</v>
      </c>
    </row>
    <row r="16" spans="1:47" x14ac:dyDescent="0.35">
      <c r="A16">
        <v>13</v>
      </c>
      <c r="B16" t="s">
        <v>159</v>
      </c>
      <c r="C16" s="1">
        <v>46192</v>
      </c>
      <c r="D16" s="2">
        <v>0.24175925925925926</v>
      </c>
      <c r="E16">
        <v>1000</v>
      </c>
      <c r="F16">
        <v>80.66</v>
      </c>
      <c r="G16">
        <v>444</v>
      </c>
      <c r="H16">
        <v>0</v>
      </c>
      <c r="I16">
        <v>89.06</v>
      </c>
      <c r="J16">
        <v>4096</v>
      </c>
      <c r="K16" s="3">
        <v>0.95599999999999996</v>
      </c>
      <c r="L16" s="3">
        <v>0.88</v>
      </c>
      <c r="M16" s="3">
        <v>0.878</v>
      </c>
      <c r="N16" s="3">
        <v>0.86599999999999999</v>
      </c>
      <c r="O16" s="3">
        <v>0.80400000000000005</v>
      </c>
      <c r="P16" s="3">
        <v>0.77200000000000002</v>
      </c>
      <c r="Q16" s="3">
        <v>0.61099999999999999</v>
      </c>
      <c r="R16" s="3">
        <v>0.57799999999999996</v>
      </c>
      <c r="S16" s="3">
        <v>0.57299999999999995</v>
      </c>
      <c r="T16">
        <v>146</v>
      </c>
      <c r="U16">
        <v>42</v>
      </c>
      <c r="V16">
        <v>32</v>
      </c>
      <c r="W16">
        <v>106</v>
      </c>
      <c r="X16">
        <v>3</v>
      </c>
      <c r="Y16">
        <v>122</v>
      </c>
      <c r="Z16">
        <v>63</v>
      </c>
      <c r="AA16">
        <v>1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-1</v>
      </c>
      <c r="AH16" t="s">
        <v>49</v>
      </c>
      <c r="AI16">
        <v>4</v>
      </c>
      <c r="AJ16" t="s">
        <v>160</v>
      </c>
      <c r="AK16">
        <v>32</v>
      </c>
      <c r="AL16">
        <v>2629.1</v>
      </c>
      <c r="AM16">
        <v>3333</v>
      </c>
      <c r="AN16">
        <v>1144.4000000000001</v>
      </c>
      <c r="AO16">
        <v>0</v>
      </c>
      <c r="AP16">
        <v>-1</v>
      </c>
      <c r="AQ16" t="s">
        <v>161</v>
      </c>
      <c r="AR16" t="s">
        <v>162</v>
      </c>
      <c r="AS16">
        <v>20</v>
      </c>
      <c r="AT16" t="s">
        <v>57</v>
      </c>
      <c r="AU16" t="s">
        <v>58</v>
      </c>
    </row>
    <row r="17" spans="1:47" x14ac:dyDescent="0.35">
      <c r="A17">
        <v>14</v>
      </c>
      <c r="B17" t="s">
        <v>108</v>
      </c>
      <c r="C17" s="1">
        <v>46191</v>
      </c>
      <c r="D17" s="2">
        <v>0.90968749999999998</v>
      </c>
      <c r="E17">
        <v>1000</v>
      </c>
      <c r="F17" s="5">
        <v>15.24</v>
      </c>
      <c r="G17">
        <v>471</v>
      </c>
      <c r="H17">
        <v>0</v>
      </c>
      <c r="I17">
        <v>213.12</v>
      </c>
      <c r="J17">
        <v>6144</v>
      </c>
      <c r="K17" s="3">
        <v>0.99199999999999999</v>
      </c>
      <c r="L17" s="3">
        <v>0.93600000000000005</v>
      </c>
      <c r="M17" s="3">
        <v>0.93600000000000005</v>
      </c>
      <c r="N17" s="3">
        <v>0.92200000000000004</v>
      </c>
      <c r="O17" s="3">
        <v>0.88200000000000001</v>
      </c>
      <c r="P17" s="3">
        <v>0.81399999999999995</v>
      </c>
      <c r="Q17" s="3">
        <v>0.60799999999999998</v>
      </c>
      <c r="R17" s="3">
        <v>0.54500000000000004</v>
      </c>
      <c r="S17" s="3">
        <v>0.54400000000000004</v>
      </c>
      <c r="T17">
        <v>101</v>
      </c>
      <c r="U17">
        <v>22</v>
      </c>
      <c r="V17">
        <v>77</v>
      </c>
      <c r="W17">
        <v>88</v>
      </c>
      <c r="X17">
        <v>92</v>
      </c>
      <c r="Y17">
        <v>29</v>
      </c>
      <c r="Z17">
        <v>44</v>
      </c>
      <c r="AA17">
        <v>0.98699999999999999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0.15</v>
      </c>
      <c r="AH17" t="s">
        <v>49</v>
      </c>
      <c r="AI17">
        <v>16</v>
      </c>
      <c r="AK17">
        <v>256</v>
      </c>
      <c r="AL17">
        <v>3568.4</v>
      </c>
      <c r="AM17">
        <v>4458</v>
      </c>
      <c r="AN17">
        <v>1773.3</v>
      </c>
      <c r="AO17">
        <v>0</v>
      </c>
      <c r="AP17">
        <v>-1</v>
      </c>
      <c r="AQ17" t="s">
        <v>109</v>
      </c>
      <c r="AR17" t="s">
        <v>110</v>
      </c>
      <c r="AS17">
        <v>9.1</v>
      </c>
      <c r="AT17" t="s">
        <v>57</v>
      </c>
      <c r="AU17" t="s">
        <v>58</v>
      </c>
    </row>
    <row r="18" spans="1:47" x14ac:dyDescent="0.35">
      <c r="A18">
        <v>15</v>
      </c>
      <c r="B18" t="s">
        <v>104</v>
      </c>
      <c r="C18" s="1">
        <v>46191</v>
      </c>
      <c r="D18" s="2">
        <v>0.804224537037037</v>
      </c>
      <c r="E18">
        <v>1000</v>
      </c>
      <c r="F18">
        <v>202.16</v>
      </c>
      <c r="G18">
        <v>469</v>
      </c>
      <c r="H18">
        <v>0</v>
      </c>
      <c r="I18">
        <v>37.85</v>
      </c>
      <c r="J18">
        <v>4096</v>
      </c>
      <c r="K18" s="3">
        <v>0.97199999999999998</v>
      </c>
      <c r="L18" s="3">
        <v>0.90600000000000003</v>
      </c>
      <c r="M18" s="3">
        <v>0.88700000000000001</v>
      </c>
      <c r="N18" s="3">
        <v>0.84899999999999998</v>
      </c>
      <c r="O18" s="3">
        <v>0.80700000000000005</v>
      </c>
      <c r="P18" s="3">
        <v>0.73399999999999999</v>
      </c>
      <c r="Q18" s="3">
        <v>0.52300000000000002</v>
      </c>
      <c r="R18" s="3">
        <v>0.48299999999999998</v>
      </c>
      <c r="S18" s="3">
        <v>0.47699999999999998</v>
      </c>
      <c r="T18">
        <v>137</v>
      </c>
      <c r="U18">
        <v>39</v>
      </c>
      <c r="V18">
        <v>49</v>
      </c>
      <c r="W18">
        <v>257</v>
      </c>
      <c r="X18">
        <v>17</v>
      </c>
      <c r="Y18">
        <v>19</v>
      </c>
      <c r="Z18">
        <v>42</v>
      </c>
      <c r="AA18">
        <v>0.999</v>
      </c>
      <c r="AB18">
        <v>1</v>
      </c>
      <c r="AC18">
        <v>1</v>
      </c>
      <c r="AD18">
        <v>0</v>
      </c>
      <c r="AE18">
        <v>0</v>
      </c>
      <c r="AF18">
        <v>0</v>
      </c>
      <c r="AG18">
        <v>-1</v>
      </c>
      <c r="AH18" t="s">
        <v>49</v>
      </c>
      <c r="AI18">
        <v>16</v>
      </c>
      <c r="AJ18" t="s">
        <v>105</v>
      </c>
      <c r="AK18">
        <v>128</v>
      </c>
      <c r="AL18">
        <v>2553.4</v>
      </c>
      <c r="AM18">
        <v>2932</v>
      </c>
      <c r="AN18">
        <v>1158</v>
      </c>
      <c r="AO18">
        <v>0</v>
      </c>
      <c r="AP18">
        <v>-1</v>
      </c>
      <c r="AQ18" t="s">
        <v>106</v>
      </c>
      <c r="AR18" t="s">
        <v>107</v>
      </c>
      <c r="AS18">
        <v>43</v>
      </c>
      <c r="AT18" t="s">
        <v>69</v>
      </c>
      <c r="AU18" t="s">
        <v>58</v>
      </c>
    </row>
    <row r="19" spans="1:47" x14ac:dyDescent="0.35">
      <c r="A19">
        <v>16</v>
      </c>
      <c r="B19" t="s">
        <v>97</v>
      </c>
      <c r="C19" s="1">
        <v>46191</v>
      </c>
      <c r="D19" s="2">
        <v>0.65442129629629631</v>
      </c>
      <c r="E19">
        <v>1000</v>
      </c>
      <c r="F19">
        <v>200.64</v>
      </c>
      <c r="G19">
        <v>423</v>
      </c>
      <c r="H19">
        <v>0</v>
      </c>
      <c r="I19">
        <v>33.56</v>
      </c>
      <c r="J19">
        <v>4096</v>
      </c>
      <c r="K19" s="3">
        <v>0.88600000000000001</v>
      </c>
      <c r="L19" s="3">
        <v>0.88100000000000001</v>
      </c>
      <c r="M19" s="3">
        <v>0.87</v>
      </c>
      <c r="N19" s="3">
        <v>0.79</v>
      </c>
      <c r="O19" s="3">
        <v>0.75900000000000001</v>
      </c>
      <c r="P19" s="3">
        <v>0.71899999999999997</v>
      </c>
      <c r="Q19" s="3">
        <v>0.54100000000000004</v>
      </c>
      <c r="R19" s="3">
        <v>0.495</v>
      </c>
      <c r="S19" s="3">
        <v>0.47299999999999998</v>
      </c>
      <c r="T19">
        <v>146</v>
      </c>
      <c r="U19">
        <v>21</v>
      </c>
      <c r="V19">
        <v>54</v>
      </c>
      <c r="W19">
        <v>42</v>
      </c>
      <c r="X19">
        <v>24</v>
      </c>
      <c r="Y19">
        <v>4</v>
      </c>
      <c r="Z19">
        <v>107</v>
      </c>
      <c r="AA19">
        <v>1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-1</v>
      </c>
      <c r="AH19" t="s">
        <v>49</v>
      </c>
      <c r="AI19">
        <v>16</v>
      </c>
      <c r="AJ19" t="s">
        <v>98</v>
      </c>
      <c r="AK19">
        <v>128</v>
      </c>
      <c r="AL19">
        <v>2509</v>
      </c>
      <c r="AM19">
        <v>4018</v>
      </c>
      <c r="AN19">
        <v>1125.8</v>
      </c>
      <c r="AO19">
        <v>0</v>
      </c>
      <c r="AP19">
        <v>-1</v>
      </c>
      <c r="AQ19" t="s">
        <v>99</v>
      </c>
      <c r="AR19" t="s">
        <v>100</v>
      </c>
      <c r="AS19">
        <v>43</v>
      </c>
      <c r="AT19" t="s">
        <v>69</v>
      </c>
      <c r="AU19" t="s">
        <v>58</v>
      </c>
    </row>
    <row r="20" spans="1:47" x14ac:dyDescent="0.35">
      <c r="A20">
        <v>17</v>
      </c>
      <c r="B20" t="s">
        <v>131</v>
      </c>
      <c r="C20" s="1">
        <v>46191</v>
      </c>
      <c r="D20" s="2">
        <v>0.951238425925926</v>
      </c>
      <c r="E20">
        <v>1000</v>
      </c>
      <c r="F20">
        <v>84.68</v>
      </c>
      <c r="G20">
        <v>393</v>
      </c>
      <c r="H20">
        <v>0</v>
      </c>
      <c r="I20">
        <v>75.89</v>
      </c>
      <c r="J20">
        <v>6144</v>
      </c>
      <c r="K20" s="3">
        <v>0.89900000000000002</v>
      </c>
      <c r="L20" s="3">
        <v>0.88100000000000001</v>
      </c>
      <c r="M20" s="3">
        <v>0.86299999999999999</v>
      </c>
      <c r="N20" s="3">
        <v>0.86</v>
      </c>
      <c r="O20" s="3">
        <v>0.80200000000000005</v>
      </c>
      <c r="P20" s="3">
        <v>0.72699999999999998</v>
      </c>
      <c r="Q20" s="3">
        <v>0.44900000000000001</v>
      </c>
      <c r="R20" s="3">
        <v>0.4</v>
      </c>
      <c r="S20" s="3">
        <v>0.38700000000000001</v>
      </c>
      <c r="T20">
        <v>184</v>
      </c>
      <c r="U20">
        <v>53</v>
      </c>
      <c r="V20">
        <v>36</v>
      </c>
      <c r="W20">
        <v>205</v>
      </c>
      <c r="X20">
        <v>49</v>
      </c>
      <c r="Y20">
        <v>95</v>
      </c>
      <c r="Z20">
        <v>65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-1</v>
      </c>
      <c r="AH20" t="s">
        <v>49</v>
      </c>
      <c r="AI20">
        <v>16</v>
      </c>
      <c r="AJ20" t="s">
        <v>98</v>
      </c>
      <c r="AK20">
        <v>32</v>
      </c>
      <c r="AL20">
        <v>2580.5</v>
      </c>
      <c r="AM20">
        <v>4441</v>
      </c>
      <c r="AN20">
        <v>1178.0999999999999</v>
      </c>
      <c r="AO20">
        <v>0</v>
      </c>
      <c r="AP20">
        <v>-1</v>
      </c>
      <c r="AQ20" t="s">
        <v>132</v>
      </c>
      <c r="AR20" t="s">
        <v>133</v>
      </c>
      <c r="AS20">
        <v>41</v>
      </c>
      <c r="AT20" t="s">
        <v>69</v>
      </c>
      <c r="AU20" t="s">
        <v>58</v>
      </c>
    </row>
    <row r="21" spans="1:47" x14ac:dyDescent="0.35">
      <c r="A21">
        <v>18</v>
      </c>
      <c r="B21" t="s">
        <v>163</v>
      </c>
      <c r="C21" s="1">
        <v>46192</v>
      </c>
      <c r="D21" s="2">
        <v>0.30105324074074075</v>
      </c>
      <c r="E21">
        <v>1000</v>
      </c>
      <c r="F21">
        <v>30.75</v>
      </c>
      <c r="G21">
        <v>546</v>
      </c>
      <c r="H21">
        <v>0</v>
      </c>
      <c r="I21">
        <v>211.78</v>
      </c>
      <c r="J21">
        <v>4096</v>
      </c>
      <c r="K21" s="3">
        <v>0.66900000000000004</v>
      </c>
      <c r="L21" s="3">
        <v>0.874</v>
      </c>
      <c r="M21" s="3">
        <v>0.86899999999999999</v>
      </c>
      <c r="N21" s="3">
        <v>0.84899999999999998</v>
      </c>
      <c r="O21" s="3">
        <v>0.77400000000000002</v>
      </c>
      <c r="P21" s="3">
        <v>0.75800000000000001</v>
      </c>
      <c r="Q21" s="3">
        <v>0.53600000000000003</v>
      </c>
      <c r="R21" s="3">
        <v>0.51900000000000002</v>
      </c>
      <c r="S21" s="3">
        <v>0.36799999999999999</v>
      </c>
      <c r="T21">
        <v>101</v>
      </c>
      <c r="U21">
        <v>63</v>
      </c>
      <c r="V21">
        <v>46</v>
      </c>
      <c r="W21">
        <v>108</v>
      </c>
      <c r="X21">
        <v>2</v>
      </c>
      <c r="Y21">
        <v>92</v>
      </c>
      <c r="Z21">
        <v>93</v>
      </c>
      <c r="AA21">
        <v>0.99099999999999999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0.7</v>
      </c>
      <c r="AH21" t="s">
        <v>49</v>
      </c>
      <c r="AI21">
        <v>8</v>
      </c>
      <c r="AJ21" t="s">
        <v>164</v>
      </c>
      <c r="AK21">
        <v>256</v>
      </c>
      <c r="AL21">
        <v>2641.1</v>
      </c>
      <c r="AM21">
        <v>3864</v>
      </c>
      <c r="AN21">
        <v>1145.3</v>
      </c>
      <c r="AO21">
        <v>0</v>
      </c>
      <c r="AP21">
        <v>-1</v>
      </c>
      <c r="AQ21" t="s">
        <v>165</v>
      </c>
      <c r="AR21" t="s">
        <v>166</v>
      </c>
      <c r="AS21">
        <v>19</v>
      </c>
      <c r="AT21" t="s">
        <v>57</v>
      </c>
      <c r="AU21" t="s">
        <v>58</v>
      </c>
    </row>
    <row r="22" spans="1:47" x14ac:dyDescent="0.35">
      <c r="A22">
        <v>19</v>
      </c>
      <c r="B22" t="s">
        <v>121</v>
      </c>
      <c r="C22" s="1">
        <v>46192</v>
      </c>
      <c r="D22" s="2">
        <v>0.74206018518518524</v>
      </c>
      <c r="E22">
        <v>1000</v>
      </c>
      <c r="F22">
        <v>53.27</v>
      </c>
      <c r="G22">
        <v>620</v>
      </c>
      <c r="H22">
        <v>0</v>
      </c>
      <c r="I22">
        <v>151.56</v>
      </c>
      <c r="J22">
        <v>4096</v>
      </c>
      <c r="K22" s="3">
        <v>0.752</v>
      </c>
      <c r="L22" s="3">
        <v>0.81100000000000005</v>
      </c>
      <c r="M22" s="3">
        <v>0.80600000000000005</v>
      </c>
      <c r="N22" s="3">
        <v>0.77200000000000002</v>
      </c>
      <c r="O22" s="3">
        <v>0.73199999999999998</v>
      </c>
      <c r="P22" s="3">
        <v>0.67700000000000005</v>
      </c>
      <c r="Q22" s="3">
        <v>0.47899999999999998</v>
      </c>
      <c r="R22" s="3">
        <v>0.46700000000000003</v>
      </c>
      <c r="S22" s="3">
        <v>0.36699999999999999</v>
      </c>
      <c r="T22">
        <v>157</v>
      </c>
      <c r="U22">
        <v>55</v>
      </c>
      <c r="V22">
        <v>22</v>
      </c>
      <c r="W22">
        <v>36</v>
      </c>
      <c r="X22">
        <v>8</v>
      </c>
      <c r="Y22">
        <v>87</v>
      </c>
      <c r="Z22">
        <v>25</v>
      </c>
      <c r="AA22">
        <v>0.98699999999999999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-1</v>
      </c>
      <c r="AH22" t="s">
        <v>49</v>
      </c>
      <c r="AI22">
        <v>12</v>
      </c>
      <c r="AJ22" t="s">
        <v>105</v>
      </c>
      <c r="AK22">
        <v>16</v>
      </c>
      <c r="AL22">
        <v>2524.1</v>
      </c>
      <c r="AM22">
        <v>2952</v>
      </c>
      <c r="AN22">
        <v>1140.4000000000001</v>
      </c>
      <c r="AO22">
        <v>0</v>
      </c>
      <c r="AP22">
        <v>-1</v>
      </c>
      <c r="AQ22" t="s">
        <v>122</v>
      </c>
      <c r="AR22" t="s">
        <v>123</v>
      </c>
      <c r="AS22">
        <v>8.1999999999999993</v>
      </c>
      <c r="AT22" t="s">
        <v>57</v>
      </c>
      <c r="AU22" t="s">
        <v>58</v>
      </c>
    </row>
    <row r="23" spans="1:47" x14ac:dyDescent="0.35">
      <c r="A23">
        <v>20</v>
      </c>
      <c r="B23" t="s">
        <v>147</v>
      </c>
      <c r="C23" s="1">
        <v>46192</v>
      </c>
      <c r="D23" s="2">
        <v>0.58597222222222223</v>
      </c>
      <c r="E23">
        <v>1000</v>
      </c>
      <c r="F23">
        <v>83.59</v>
      </c>
      <c r="G23">
        <v>934</v>
      </c>
      <c r="H23">
        <v>0</v>
      </c>
      <c r="I23">
        <v>182.82</v>
      </c>
      <c r="J23">
        <v>6144</v>
      </c>
      <c r="K23" s="3">
        <v>0.78500000000000003</v>
      </c>
      <c r="L23" s="3">
        <v>0.84099999999999997</v>
      </c>
      <c r="M23" s="3">
        <v>0.82899999999999996</v>
      </c>
      <c r="N23" s="3">
        <v>0.80500000000000005</v>
      </c>
      <c r="O23" s="3">
        <v>0.76300000000000001</v>
      </c>
      <c r="P23" s="3">
        <v>0.62</v>
      </c>
      <c r="Q23" s="3">
        <v>0.434</v>
      </c>
      <c r="R23" s="3">
        <v>0.39300000000000002</v>
      </c>
      <c r="S23" s="3">
        <v>0.33800000000000002</v>
      </c>
      <c r="T23">
        <v>88</v>
      </c>
      <c r="U23">
        <v>26</v>
      </c>
      <c r="V23">
        <v>9</v>
      </c>
      <c r="W23">
        <v>31</v>
      </c>
      <c r="X23">
        <v>51</v>
      </c>
      <c r="Y23">
        <v>43</v>
      </c>
      <c r="Z23">
        <v>124</v>
      </c>
      <c r="AA23">
        <v>1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</v>
      </c>
      <c r="AH23" t="s">
        <v>49</v>
      </c>
      <c r="AI23">
        <v>32</v>
      </c>
      <c r="AJ23" t="s">
        <v>138</v>
      </c>
      <c r="AK23">
        <v>256</v>
      </c>
      <c r="AL23">
        <v>5101</v>
      </c>
      <c r="AM23">
        <v>6040</v>
      </c>
      <c r="AN23">
        <v>1171.8</v>
      </c>
      <c r="AO23">
        <v>0</v>
      </c>
      <c r="AP23">
        <v>-1</v>
      </c>
      <c r="AQ23" t="s">
        <v>148</v>
      </c>
      <c r="AR23" t="s">
        <v>149</v>
      </c>
      <c r="AS23">
        <v>3.4</v>
      </c>
      <c r="AT23" t="s">
        <v>57</v>
      </c>
      <c r="AU23" t="s">
        <v>58</v>
      </c>
    </row>
    <row r="24" spans="1:47" x14ac:dyDescent="0.35">
      <c r="A24">
        <v>21</v>
      </c>
      <c r="B24" t="s">
        <v>150</v>
      </c>
      <c r="C24" s="1">
        <v>46192</v>
      </c>
      <c r="D24" s="2">
        <v>0.50619212962962956</v>
      </c>
      <c r="E24">
        <v>1000</v>
      </c>
      <c r="F24">
        <v>88.65</v>
      </c>
      <c r="G24">
        <v>761</v>
      </c>
      <c r="H24">
        <v>0</v>
      </c>
      <c r="I24">
        <v>113.33</v>
      </c>
      <c r="J24">
        <v>6144</v>
      </c>
      <c r="K24" s="3">
        <v>0.78100000000000003</v>
      </c>
      <c r="L24" s="3">
        <v>0.86799999999999999</v>
      </c>
      <c r="M24" s="3">
        <v>0.85899999999999999</v>
      </c>
      <c r="N24" s="3">
        <v>0.83199999999999996</v>
      </c>
      <c r="O24" s="3">
        <v>0.77300000000000002</v>
      </c>
      <c r="P24" s="3">
        <v>0.69599999999999995</v>
      </c>
      <c r="Q24" s="3">
        <v>0.54600000000000004</v>
      </c>
      <c r="R24" s="3">
        <v>0.47399999999999998</v>
      </c>
      <c r="S24" s="3">
        <v>0.33200000000000002</v>
      </c>
      <c r="T24">
        <v>129</v>
      </c>
      <c r="U24">
        <v>41</v>
      </c>
      <c r="V24">
        <v>43</v>
      </c>
      <c r="W24">
        <v>64</v>
      </c>
      <c r="X24">
        <v>37</v>
      </c>
      <c r="Y24">
        <v>61</v>
      </c>
      <c r="Z24">
        <v>74</v>
      </c>
      <c r="AA24">
        <v>1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1</v>
      </c>
      <c r="AH24" t="s">
        <v>49</v>
      </c>
      <c r="AI24">
        <v>32</v>
      </c>
      <c r="AJ24" t="s">
        <v>138</v>
      </c>
      <c r="AK24">
        <v>256</v>
      </c>
      <c r="AL24">
        <v>4618.3</v>
      </c>
      <c r="AM24">
        <v>5917</v>
      </c>
      <c r="AN24">
        <v>1172.2</v>
      </c>
      <c r="AO24">
        <v>0</v>
      </c>
      <c r="AP24">
        <v>-1</v>
      </c>
      <c r="AQ24" t="s">
        <v>151</v>
      </c>
      <c r="AR24" t="s">
        <v>152</v>
      </c>
      <c r="AS24">
        <v>6.6</v>
      </c>
      <c r="AT24" t="s">
        <v>57</v>
      </c>
      <c r="AU24" t="s">
        <v>58</v>
      </c>
    </row>
    <row r="25" spans="1:47" x14ac:dyDescent="0.35">
      <c r="A25">
        <v>22</v>
      </c>
      <c r="B25" t="s">
        <v>63</v>
      </c>
      <c r="C25" s="1">
        <v>46193</v>
      </c>
      <c r="D25" s="2">
        <v>0.25972222222222224</v>
      </c>
      <c r="E25">
        <v>1000</v>
      </c>
      <c r="F25">
        <v>117.97</v>
      </c>
      <c r="G25">
        <v>535</v>
      </c>
      <c r="H25">
        <v>0</v>
      </c>
      <c r="I25">
        <v>75.12</v>
      </c>
      <c r="J25">
        <v>6144</v>
      </c>
      <c r="K25" s="3">
        <v>0.66300000000000003</v>
      </c>
      <c r="L25" s="3">
        <v>0.747</v>
      </c>
      <c r="M25" s="3">
        <v>0.72499999999999998</v>
      </c>
      <c r="N25" s="3">
        <v>0.71299999999999997</v>
      </c>
      <c r="O25" s="3">
        <v>0.68799999999999994</v>
      </c>
      <c r="P25" s="3">
        <v>0.6</v>
      </c>
      <c r="Q25" s="3">
        <v>0.42799999999999999</v>
      </c>
      <c r="R25" s="3">
        <v>0.376</v>
      </c>
      <c r="S25" s="3">
        <v>0.314</v>
      </c>
      <c r="T25">
        <v>134</v>
      </c>
      <c r="U25">
        <v>80</v>
      </c>
      <c r="V25">
        <v>15</v>
      </c>
      <c r="W25">
        <v>110</v>
      </c>
      <c r="X25">
        <v>29</v>
      </c>
      <c r="Y25">
        <v>81</v>
      </c>
      <c r="Z25">
        <v>71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-1</v>
      </c>
      <c r="AH25" t="s">
        <v>49</v>
      </c>
      <c r="AI25">
        <v>2</v>
      </c>
      <c r="AK25">
        <v>128</v>
      </c>
      <c r="AL25">
        <v>2722</v>
      </c>
      <c r="AM25">
        <v>5408</v>
      </c>
      <c r="AN25">
        <v>1185.9000000000001</v>
      </c>
      <c r="AO25">
        <v>0</v>
      </c>
      <c r="AP25">
        <v>-1</v>
      </c>
      <c r="AQ25" t="s">
        <v>64</v>
      </c>
      <c r="AR25" t="s">
        <v>65</v>
      </c>
      <c r="AS25">
        <v>20</v>
      </c>
      <c r="AT25" t="s">
        <v>57</v>
      </c>
      <c r="AU25" t="s">
        <v>58</v>
      </c>
    </row>
    <row r="26" spans="1:47" x14ac:dyDescent="0.35">
      <c r="A26">
        <v>23</v>
      </c>
      <c r="B26" t="s">
        <v>84</v>
      </c>
      <c r="C26" s="1">
        <v>46193</v>
      </c>
      <c r="D26" s="2">
        <v>0.17947916666666666</v>
      </c>
      <c r="E26">
        <v>1000</v>
      </c>
      <c r="F26">
        <v>93.23</v>
      </c>
      <c r="G26">
        <v>833</v>
      </c>
      <c r="H26">
        <v>0</v>
      </c>
      <c r="I26">
        <v>134.88999999999999</v>
      </c>
      <c r="J26">
        <v>6144</v>
      </c>
      <c r="K26" s="3">
        <v>0.85799999999999998</v>
      </c>
      <c r="L26" s="3">
        <v>0.82099999999999995</v>
      </c>
      <c r="M26" s="3">
        <v>0.81499999999999995</v>
      </c>
      <c r="N26" s="3">
        <v>0.78900000000000003</v>
      </c>
      <c r="O26" s="3">
        <v>0.72499999999999998</v>
      </c>
      <c r="P26" s="3">
        <v>0.498</v>
      </c>
      <c r="Q26" s="3">
        <v>0.35599999999999998</v>
      </c>
      <c r="R26" s="3">
        <v>0.29199999999999998</v>
      </c>
      <c r="S26" s="3">
        <v>0.28999999999999998</v>
      </c>
      <c r="T26">
        <v>52</v>
      </c>
      <c r="U26">
        <v>26</v>
      </c>
      <c r="V26">
        <v>25</v>
      </c>
      <c r="W26">
        <v>166</v>
      </c>
      <c r="X26">
        <v>44</v>
      </c>
      <c r="Y26">
        <v>31</v>
      </c>
      <c r="Z26">
        <v>69</v>
      </c>
      <c r="AA26">
        <v>1</v>
      </c>
      <c r="AB26">
        <v>1</v>
      </c>
      <c r="AC26">
        <v>1</v>
      </c>
      <c r="AD26">
        <v>0.02</v>
      </c>
      <c r="AE26">
        <v>2687</v>
      </c>
      <c r="AF26">
        <v>0</v>
      </c>
      <c r="AG26">
        <v>1</v>
      </c>
      <c r="AH26" t="s">
        <v>49</v>
      </c>
      <c r="AI26">
        <v>4</v>
      </c>
      <c r="AK26">
        <v>198</v>
      </c>
      <c r="AL26">
        <v>5176.3</v>
      </c>
      <c r="AM26">
        <v>8831</v>
      </c>
      <c r="AN26">
        <v>1485.6</v>
      </c>
      <c r="AO26">
        <v>0</v>
      </c>
      <c r="AP26">
        <v>-1</v>
      </c>
      <c r="AQ26" t="s">
        <v>85</v>
      </c>
      <c r="AR26" t="s">
        <v>86</v>
      </c>
      <c r="AS26">
        <v>19</v>
      </c>
      <c r="AT26" t="s">
        <v>57</v>
      </c>
      <c r="AU26" t="s">
        <v>58</v>
      </c>
    </row>
    <row r="27" spans="1:47" x14ac:dyDescent="0.35">
      <c r="A27">
        <v>24</v>
      </c>
      <c r="B27" t="s">
        <v>66</v>
      </c>
      <c r="C27" s="1">
        <v>46192</v>
      </c>
      <c r="D27" s="2">
        <v>0.35873842592592592</v>
      </c>
      <c r="E27">
        <v>1000</v>
      </c>
      <c r="F27">
        <v>261.04000000000002</v>
      </c>
      <c r="G27">
        <v>1072</v>
      </c>
      <c r="H27">
        <v>0</v>
      </c>
      <c r="I27">
        <v>69.2</v>
      </c>
      <c r="J27">
        <v>6144</v>
      </c>
      <c r="K27" s="3">
        <v>0.52500000000000002</v>
      </c>
      <c r="L27" s="3">
        <v>0.77700000000000002</v>
      </c>
      <c r="M27" s="3">
        <v>0.76400000000000001</v>
      </c>
      <c r="N27" s="3">
        <v>0.751</v>
      </c>
      <c r="O27" s="3">
        <v>0.69099999999999995</v>
      </c>
      <c r="P27" s="3">
        <v>0.63600000000000001</v>
      </c>
      <c r="Q27" s="3">
        <v>0.51700000000000002</v>
      </c>
      <c r="R27" s="3">
        <v>0.48599999999999999</v>
      </c>
      <c r="S27" s="3">
        <v>0.28599999999999998</v>
      </c>
      <c r="T27">
        <v>62</v>
      </c>
      <c r="U27">
        <v>35</v>
      </c>
      <c r="V27">
        <v>25</v>
      </c>
      <c r="W27">
        <v>89</v>
      </c>
      <c r="X27">
        <v>16</v>
      </c>
      <c r="Y27">
        <v>36</v>
      </c>
      <c r="Z27">
        <v>57</v>
      </c>
      <c r="AA27">
        <v>1</v>
      </c>
      <c r="AB27">
        <v>1</v>
      </c>
      <c r="AC27">
        <v>1</v>
      </c>
      <c r="AD27">
        <v>2E-3</v>
      </c>
      <c r="AE27">
        <v>1984</v>
      </c>
      <c r="AF27">
        <v>0</v>
      </c>
      <c r="AG27">
        <v>-1</v>
      </c>
      <c r="AH27" t="s">
        <v>49</v>
      </c>
      <c r="AI27">
        <v>16</v>
      </c>
      <c r="AK27">
        <v>128</v>
      </c>
      <c r="AL27">
        <v>3428.3</v>
      </c>
      <c r="AM27">
        <v>8128</v>
      </c>
      <c r="AN27">
        <v>1137.0999999999999</v>
      </c>
      <c r="AO27">
        <v>0</v>
      </c>
      <c r="AP27">
        <v>-1</v>
      </c>
      <c r="AQ27" t="s">
        <v>67</v>
      </c>
      <c r="AR27" t="s">
        <v>68</v>
      </c>
      <c r="AS27">
        <v>43</v>
      </c>
      <c r="AT27" t="s">
        <v>69</v>
      </c>
      <c r="AU27" t="s">
        <v>58</v>
      </c>
    </row>
    <row r="28" spans="1:47" x14ac:dyDescent="0.35">
      <c r="A28">
        <v>25</v>
      </c>
      <c r="B28" t="s">
        <v>111</v>
      </c>
      <c r="C28" s="1">
        <v>46192</v>
      </c>
      <c r="D28" s="2">
        <v>0.99995370370370373</v>
      </c>
      <c r="E28">
        <v>1000</v>
      </c>
      <c r="F28">
        <v>110.78</v>
      </c>
      <c r="G28">
        <v>1343</v>
      </c>
      <c r="H28">
        <v>0</v>
      </c>
      <c r="I28">
        <v>203.2</v>
      </c>
      <c r="J28">
        <v>6144</v>
      </c>
      <c r="K28" s="3">
        <v>0.54500000000000004</v>
      </c>
      <c r="L28" s="3">
        <v>0.56399999999999995</v>
      </c>
      <c r="M28" s="3">
        <v>0.56000000000000005</v>
      </c>
      <c r="N28" s="3">
        <v>0.53100000000000003</v>
      </c>
      <c r="O28" s="3">
        <v>0.503</v>
      </c>
      <c r="P28" s="3">
        <v>0.27</v>
      </c>
      <c r="Q28" s="3">
        <v>0.24</v>
      </c>
      <c r="R28" s="3">
        <v>0.19700000000000001</v>
      </c>
      <c r="S28" s="3">
        <v>0.16</v>
      </c>
      <c r="T28">
        <v>19</v>
      </c>
      <c r="U28">
        <v>10</v>
      </c>
      <c r="V28">
        <v>2</v>
      </c>
      <c r="W28">
        <v>56</v>
      </c>
      <c r="X28">
        <v>12</v>
      </c>
      <c r="Y28">
        <v>12</v>
      </c>
      <c r="Z28">
        <v>40</v>
      </c>
      <c r="AA28">
        <v>1</v>
      </c>
      <c r="AB28">
        <v>1</v>
      </c>
      <c r="AC28">
        <v>1</v>
      </c>
      <c r="AD28">
        <v>8.0000000000000002E-3</v>
      </c>
      <c r="AE28">
        <v>2703</v>
      </c>
      <c r="AF28">
        <v>0</v>
      </c>
      <c r="AG28">
        <v>1</v>
      </c>
      <c r="AH28" t="s">
        <v>49</v>
      </c>
      <c r="AI28">
        <v>8</v>
      </c>
      <c r="AK28">
        <v>256</v>
      </c>
      <c r="AL28">
        <v>5369.1</v>
      </c>
      <c r="AM28">
        <v>8847</v>
      </c>
      <c r="AN28">
        <v>1643.4</v>
      </c>
      <c r="AO28">
        <v>0</v>
      </c>
      <c r="AP28">
        <v>-1</v>
      </c>
      <c r="AQ28" t="s">
        <v>112</v>
      </c>
      <c r="AR28" t="s">
        <v>113</v>
      </c>
      <c r="AS28">
        <v>24</v>
      </c>
      <c r="AT28" t="s">
        <v>57</v>
      </c>
      <c r="AU28" t="s">
        <v>58</v>
      </c>
    </row>
    <row r="29" spans="1:47" x14ac:dyDescent="0.35">
      <c r="A29">
        <v>26</v>
      </c>
      <c r="B29" t="s">
        <v>70</v>
      </c>
      <c r="C29" s="1">
        <v>46192</v>
      </c>
      <c r="D29" s="2">
        <v>0.79074074074074074</v>
      </c>
      <c r="E29">
        <v>1000</v>
      </c>
      <c r="F29">
        <v>106.78</v>
      </c>
      <c r="G29">
        <v>532</v>
      </c>
      <c r="H29">
        <v>0</v>
      </c>
      <c r="I29">
        <v>82.4</v>
      </c>
      <c r="J29">
        <v>4096</v>
      </c>
      <c r="K29" s="3">
        <v>0.58899999999999997</v>
      </c>
      <c r="L29" s="3">
        <v>0.69599999999999995</v>
      </c>
      <c r="M29" s="3">
        <v>0.68500000000000005</v>
      </c>
      <c r="N29" s="3">
        <v>0.68300000000000005</v>
      </c>
      <c r="O29" s="3">
        <v>0.65200000000000002</v>
      </c>
      <c r="P29" s="3">
        <v>0.36299999999999999</v>
      </c>
      <c r="Q29" s="3">
        <v>0.189</v>
      </c>
      <c r="R29" s="3">
        <v>0.14699999999999999</v>
      </c>
      <c r="S29" s="3">
        <v>0.123</v>
      </c>
      <c r="T29">
        <v>84</v>
      </c>
      <c r="U29">
        <v>60</v>
      </c>
      <c r="V29">
        <v>39</v>
      </c>
      <c r="W29">
        <v>88</v>
      </c>
      <c r="X29">
        <v>80</v>
      </c>
      <c r="Y29">
        <v>71</v>
      </c>
      <c r="Z29">
        <v>98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-1</v>
      </c>
      <c r="AH29" t="s">
        <v>49</v>
      </c>
      <c r="AI29">
        <v>16</v>
      </c>
      <c r="AK29">
        <v>160</v>
      </c>
      <c r="AL29">
        <v>2814.2</v>
      </c>
      <c r="AM29">
        <v>3646</v>
      </c>
      <c r="AN29">
        <v>1287.5999999999999</v>
      </c>
      <c r="AO29">
        <v>0</v>
      </c>
      <c r="AP29">
        <v>-1</v>
      </c>
      <c r="AQ29" t="s">
        <v>71</v>
      </c>
      <c r="AR29" t="s">
        <v>72</v>
      </c>
      <c r="AS29">
        <v>8.9</v>
      </c>
      <c r="AT29" t="s">
        <v>57</v>
      </c>
      <c r="AU29" t="s">
        <v>58</v>
      </c>
    </row>
    <row r="30" spans="1:47" x14ac:dyDescent="0.35">
      <c r="A30">
        <v>27</v>
      </c>
      <c r="B30" t="s">
        <v>53</v>
      </c>
      <c r="C30" s="1">
        <v>46192</v>
      </c>
      <c r="D30" s="2">
        <v>0.86753472222222217</v>
      </c>
      <c r="E30">
        <v>1000</v>
      </c>
      <c r="F30">
        <v>104.12</v>
      </c>
      <c r="G30">
        <v>443</v>
      </c>
      <c r="H30">
        <v>0</v>
      </c>
      <c r="I30">
        <v>71.09</v>
      </c>
      <c r="J30">
        <v>4096</v>
      </c>
      <c r="K30" s="3">
        <v>0.67200000000000004</v>
      </c>
      <c r="L30" s="3">
        <v>0.70899999999999996</v>
      </c>
      <c r="M30" s="3">
        <v>0.70199999999999996</v>
      </c>
      <c r="N30" s="3">
        <v>0.69399999999999995</v>
      </c>
      <c r="O30" s="3">
        <v>0.65700000000000003</v>
      </c>
      <c r="P30" s="3">
        <v>0.29599999999999999</v>
      </c>
      <c r="Q30" s="3">
        <v>0.13800000000000001</v>
      </c>
      <c r="R30" s="3">
        <v>0.106</v>
      </c>
      <c r="S30" s="3">
        <v>0.10199999999999999</v>
      </c>
      <c r="T30">
        <v>72</v>
      </c>
      <c r="U30">
        <v>28</v>
      </c>
      <c r="V30">
        <v>3</v>
      </c>
      <c r="W30">
        <v>130</v>
      </c>
      <c r="X30">
        <v>37</v>
      </c>
      <c r="Y30">
        <v>86</v>
      </c>
      <c r="Z30">
        <v>84</v>
      </c>
      <c r="AA30">
        <v>1</v>
      </c>
      <c r="AB30">
        <v>1</v>
      </c>
      <c r="AC30">
        <v>1</v>
      </c>
      <c r="AD30">
        <v>8.9999999999999993E-3</v>
      </c>
      <c r="AE30">
        <v>193</v>
      </c>
      <c r="AF30">
        <v>0</v>
      </c>
      <c r="AG30">
        <v>-1</v>
      </c>
      <c r="AH30" t="s">
        <v>49</v>
      </c>
      <c r="AI30">
        <v>12</v>
      </c>
      <c r="AJ30" t="s">
        <v>54</v>
      </c>
      <c r="AK30">
        <v>8</v>
      </c>
      <c r="AL30">
        <v>3032.2</v>
      </c>
      <c r="AM30">
        <v>4289</v>
      </c>
      <c r="AN30">
        <v>1405.6</v>
      </c>
      <c r="AO30">
        <v>0</v>
      </c>
      <c r="AP30">
        <v>-1</v>
      </c>
      <c r="AQ30" t="s">
        <v>55</v>
      </c>
      <c r="AR30" t="s">
        <v>56</v>
      </c>
      <c r="AS30">
        <v>5</v>
      </c>
      <c r="AT30" t="s">
        <v>57</v>
      </c>
      <c r="AU30" t="s">
        <v>58</v>
      </c>
    </row>
    <row r="31" spans="1:47" x14ac:dyDescent="0.35">
      <c r="A31">
        <v>28</v>
      </c>
      <c r="B31" t="s">
        <v>73</v>
      </c>
      <c r="C31" s="1">
        <v>46192</v>
      </c>
      <c r="D31" s="2">
        <v>0.94164351851851846</v>
      </c>
      <c r="E31">
        <v>1000</v>
      </c>
      <c r="F31">
        <v>80.38</v>
      </c>
      <c r="G31">
        <v>952</v>
      </c>
      <c r="H31">
        <v>0</v>
      </c>
      <c r="I31">
        <v>194.14</v>
      </c>
      <c r="J31">
        <v>6144</v>
      </c>
      <c r="K31" s="3">
        <v>0.29399999999999998</v>
      </c>
      <c r="L31" s="3">
        <v>0.72799999999999998</v>
      </c>
      <c r="M31" s="3">
        <v>0.71699999999999997</v>
      </c>
      <c r="N31" s="3">
        <v>0.69799999999999995</v>
      </c>
      <c r="O31" s="3">
        <v>0.66400000000000003</v>
      </c>
      <c r="P31" s="3">
        <v>0.379</v>
      </c>
      <c r="Q31" s="3">
        <v>0.24099999999999999</v>
      </c>
      <c r="R31" s="3">
        <v>0.16400000000000001</v>
      </c>
      <c r="S31" s="3">
        <v>0.1</v>
      </c>
      <c r="T31">
        <v>120</v>
      </c>
      <c r="U31">
        <v>24</v>
      </c>
      <c r="V31">
        <v>9</v>
      </c>
      <c r="W31">
        <v>130</v>
      </c>
      <c r="X31">
        <v>39</v>
      </c>
      <c r="Y31">
        <v>110</v>
      </c>
      <c r="Z31">
        <v>48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-1</v>
      </c>
      <c r="AH31" t="s">
        <v>49</v>
      </c>
      <c r="AI31">
        <v>12</v>
      </c>
      <c r="AJ31" t="s">
        <v>74</v>
      </c>
      <c r="AK31">
        <v>16</v>
      </c>
      <c r="AL31">
        <v>3485</v>
      </c>
      <c r="AM31">
        <v>5427</v>
      </c>
      <c r="AN31">
        <v>1379.7</v>
      </c>
      <c r="AO31">
        <v>0</v>
      </c>
      <c r="AP31">
        <v>-1</v>
      </c>
      <c r="AQ31" t="s">
        <v>75</v>
      </c>
      <c r="AR31" t="s">
        <v>76</v>
      </c>
      <c r="AS31">
        <v>9.1</v>
      </c>
      <c r="AT31" t="s">
        <v>57</v>
      </c>
      <c r="AU31" t="s">
        <v>58</v>
      </c>
    </row>
    <row r="32" spans="1:47" x14ac:dyDescent="0.35">
      <c r="A32">
        <v>29</v>
      </c>
      <c r="B32" t="s">
        <v>114</v>
      </c>
      <c r="C32" s="1">
        <v>46193</v>
      </c>
      <c r="D32" s="2">
        <v>7.8506944444444449E-2</v>
      </c>
      <c r="E32">
        <v>1000</v>
      </c>
      <c r="F32">
        <v>95.82</v>
      </c>
      <c r="G32">
        <v>628</v>
      </c>
      <c r="H32">
        <v>0</v>
      </c>
      <c r="I32">
        <v>110.15</v>
      </c>
      <c r="J32">
        <v>4096</v>
      </c>
      <c r="K32" s="3">
        <v>0.309</v>
      </c>
      <c r="L32" s="3">
        <v>0.39</v>
      </c>
      <c r="M32" s="3">
        <v>0.38400000000000001</v>
      </c>
      <c r="N32" s="3">
        <v>0.38</v>
      </c>
      <c r="O32" s="3">
        <v>0.36</v>
      </c>
      <c r="P32" s="3">
        <v>0.15</v>
      </c>
      <c r="Q32" s="3">
        <v>0.105</v>
      </c>
      <c r="R32" s="3">
        <v>9.2999999999999999E-2</v>
      </c>
      <c r="S32" s="3">
        <v>0.09</v>
      </c>
      <c r="T32">
        <v>31</v>
      </c>
      <c r="U32">
        <v>4</v>
      </c>
      <c r="V32">
        <v>5</v>
      </c>
      <c r="W32">
        <v>31</v>
      </c>
      <c r="X32">
        <v>9</v>
      </c>
      <c r="Y32">
        <v>24</v>
      </c>
      <c r="Z32">
        <v>10</v>
      </c>
      <c r="AA32">
        <v>1</v>
      </c>
      <c r="AB32">
        <v>1</v>
      </c>
      <c r="AC32">
        <v>1</v>
      </c>
      <c r="AD32">
        <v>0.02</v>
      </c>
      <c r="AE32">
        <v>531</v>
      </c>
      <c r="AF32">
        <v>0</v>
      </c>
      <c r="AG32">
        <v>-1</v>
      </c>
      <c r="AH32" t="s">
        <v>49</v>
      </c>
      <c r="AI32">
        <v>3</v>
      </c>
      <c r="AJ32" t="s">
        <v>115</v>
      </c>
      <c r="AK32">
        <v>128</v>
      </c>
      <c r="AL32">
        <v>3251</v>
      </c>
      <c r="AM32">
        <v>4627</v>
      </c>
      <c r="AN32">
        <v>850.8</v>
      </c>
      <c r="AO32">
        <v>0</v>
      </c>
      <c r="AP32">
        <v>-1</v>
      </c>
      <c r="AQ32" t="s">
        <v>116</v>
      </c>
      <c r="AR32" t="s">
        <v>117</v>
      </c>
      <c r="AS32">
        <v>28</v>
      </c>
      <c r="AT32" t="s">
        <v>57</v>
      </c>
      <c r="AU32" t="s">
        <v>58</v>
      </c>
    </row>
    <row r="33" spans="1:47" x14ac:dyDescent="0.35">
      <c r="A33">
        <v>30</v>
      </c>
      <c r="B33" t="s">
        <v>101</v>
      </c>
      <c r="C33" s="1">
        <v>46193</v>
      </c>
      <c r="D33" s="2">
        <v>0.14634259259259261</v>
      </c>
      <c r="E33">
        <v>1000</v>
      </c>
      <c r="F33">
        <v>45.15</v>
      </c>
      <c r="G33">
        <v>675</v>
      </c>
      <c r="H33">
        <v>0</v>
      </c>
      <c r="I33">
        <v>242.6</v>
      </c>
      <c r="J33">
        <v>4096</v>
      </c>
      <c r="K33" s="3">
        <v>0.47199999999999998</v>
      </c>
      <c r="L33" s="3">
        <v>0.68500000000000005</v>
      </c>
      <c r="M33" s="3">
        <v>0.65600000000000003</v>
      </c>
      <c r="N33" s="3">
        <v>0.59899999999999998</v>
      </c>
      <c r="O33" s="3">
        <v>0.52100000000000002</v>
      </c>
      <c r="P33" s="3">
        <v>0.31</v>
      </c>
      <c r="Q33" s="3">
        <v>9.5000000000000001E-2</v>
      </c>
      <c r="R33" s="3">
        <v>7.0000000000000007E-2</v>
      </c>
      <c r="S33" s="3">
        <v>3.6999999999999998E-2</v>
      </c>
      <c r="T33">
        <v>106</v>
      </c>
      <c r="U33">
        <v>23</v>
      </c>
      <c r="V33">
        <v>9</v>
      </c>
      <c r="W33">
        <v>97</v>
      </c>
      <c r="X33">
        <v>104</v>
      </c>
      <c r="Y33">
        <v>127</v>
      </c>
      <c r="Z33">
        <v>97</v>
      </c>
      <c r="AA33">
        <v>1</v>
      </c>
      <c r="AB33">
        <v>1</v>
      </c>
      <c r="AC33">
        <v>1</v>
      </c>
      <c r="AD33">
        <v>2.5999999999999999E-2</v>
      </c>
      <c r="AE33">
        <v>746</v>
      </c>
      <c r="AF33">
        <v>0</v>
      </c>
      <c r="AG33">
        <v>-1</v>
      </c>
      <c r="AH33" t="s">
        <v>49</v>
      </c>
      <c r="AI33">
        <v>24</v>
      </c>
      <c r="AK33">
        <v>128</v>
      </c>
      <c r="AL33">
        <v>3132</v>
      </c>
      <c r="AM33">
        <v>4842</v>
      </c>
      <c r="AN33">
        <v>1311.6</v>
      </c>
      <c r="AO33">
        <v>0</v>
      </c>
      <c r="AP33">
        <v>-1</v>
      </c>
      <c r="AQ33" t="s">
        <v>102</v>
      </c>
      <c r="AR33" t="s">
        <v>103</v>
      </c>
      <c r="AS33">
        <v>4.9000000000000004</v>
      </c>
      <c r="AT33" t="s">
        <v>57</v>
      </c>
      <c r="AU33" t="s">
        <v>58</v>
      </c>
    </row>
    <row r="34" spans="1:47" x14ac:dyDescent="0.35">
      <c r="A34">
        <v>31</v>
      </c>
      <c r="B34" t="s">
        <v>59</v>
      </c>
      <c r="C34" s="1">
        <v>46192</v>
      </c>
      <c r="D34" s="2">
        <v>0.33679398148148149</v>
      </c>
      <c r="E34">
        <v>1000</v>
      </c>
      <c r="F34">
        <v>36.92</v>
      </c>
      <c r="G34">
        <v>528</v>
      </c>
      <c r="H34">
        <v>0</v>
      </c>
      <c r="I34">
        <v>232.43</v>
      </c>
      <c r="J34">
        <v>4096</v>
      </c>
      <c r="K34" s="3">
        <v>0.41299999999999998</v>
      </c>
      <c r="L34" s="3">
        <v>0.54200000000000004</v>
      </c>
      <c r="M34" s="3">
        <v>0.54100000000000004</v>
      </c>
      <c r="N34" s="3">
        <v>0.53800000000000003</v>
      </c>
      <c r="O34" s="3">
        <v>0.505</v>
      </c>
      <c r="P34" s="3">
        <v>0.14499999999999999</v>
      </c>
      <c r="Q34" s="3">
        <v>4.4999999999999998E-2</v>
      </c>
      <c r="R34" s="3">
        <v>2.7E-2</v>
      </c>
      <c r="S34" s="3">
        <v>2.7E-2</v>
      </c>
      <c r="T34">
        <v>28</v>
      </c>
      <c r="U34">
        <v>1</v>
      </c>
      <c r="V34">
        <v>0</v>
      </c>
      <c r="W34">
        <v>94</v>
      </c>
      <c r="X34">
        <v>43</v>
      </c>
      <c r="Y34">
        <v>49</v>
      </c>
      <c r="Z34">
        <v>37</v>
      </c>
      <c r="AA34">
        <v>1</v>
      </c>
      <c r="AB34">
        <v>1</v>
      </c>
      <c r="AC34">
        <v>1</v>
      </c>
      <c r="AD34">
        <v>0.1</v>
      </c>
      <c r="AE34">
        <v>2730</v>
      </c>
      <c r="AF34">
        <v>0</v>
      </c>
      <c r="AG34">
        <v>-1</v>
      </c>
      <c r="AH34" t="s">
        <v>49</v>
      </c>
      <c r="AI34">
        <v>24</v>
      </c>
      <c r="AJ34" t="s">
        <v>60</v>
      </c>
      <c r="AK34">
        <v>64</v>
      </c>
      <c r="AL34">
        <v>4845.3</v>
      </c>
      <c r="AM34">
        <v>6826</v>
      </c>
      <c r="AN34">
        <v>1520.8</v>
      </c>
      <c r="AO34">
        <v>0</v>
      </c>
      <c r="AP34">
        <v>-1</v>
      </c>
      <c r="AQ34" t="s">
        <v>61</v>
      </c>
      <c r="AR34" t="s">
        <v>62</v>
      </c>
      <c r="AS34">
        <v>4.2</v>
      </c>
      <c r="AT34" t="s">
        <v>57</v>
      </c>
      <c r="AU34" t="s">
        <v>58</v>
      </c>
    </row>
    <row r="35" spans="1:47" x14ac:dyDescent="0.35">
      <c r="A35">
        <v>32</v>
      </c>
      <c r="B35" t="s">
        <v>134</v>
      </c>
      <c r="C35" s="1">
        <v>46192</v>
      </c>
      <c r="D35" s="2">
        <v>0.64666666666666661</v>
      </c>
      <c r="E35">
        <v>1000</v>
      </c>
      <c r="F35">
        <v>32.06</v>
      </c>
      <c r="G35">
        <v>480</v>
      </c>
      <c r="H35">
        <v>0</v>
      </c>
      <c r="I35">
        <v>234.08</v>
      </c>
      <c r="J35">
        <v>6144</v>
      </c>
      <c r="K35" s="3">
        <v>0.61499999999999999</v>
      </c>
      <c r="L35" s="3">
        <v>0.54900000000000004</v>
      </c>
      <c r="M35" s="3">
        <v>0.54600000000000004</v>
      </c>
      <c r="N35" s="3">
        <v>0.503</v>
      </c>
      <c r="O35" s="3">
        <v>0.47199999999999998</v>
      </c>
      <c r="P35" s="3">
        <v>0.23599999999999999</v>
      </c>
      <c r="Q35" s="3">
        <v>6.2E-2</v>
      </c>
      <c r="R35" s="3">
        <v>2.8000000000000001E-2</v>
      </c>
      <c r="S35" s="3">
        <v>0.02</v>
      </c>
      <c r="T35">
        <v>78</v>
      </c>
      <c r="U35">
        <v>33</v>
      </c>
      <c r="V35">
        <v>9</v>
      </c>
      <c r="W35">
        <v>171</v>
      </c>
      <c r="X35">
        <v>98</v>
      </c>
      <c r="Y35">
        <v>23</v>
      </c>
      <c r="Z35">
        <v>67</v>
      </c>
      <c r="AA35">
        <v>1</v>
      </c>
      <c r="AB35">
        <v>1</v>
      </c>
      <c r="AC35">
        <v>1</v>
      </c>
      <c r="AD35">
        <v>1.0999999999999999E-2</v>
      </c>
      <c r="AE35">
        <v>1478</v>
      </c>
      <c r="AF35">
        <v>0</v>
      </c>
      <c r="AG35">
        <v>-1</v>
      </c>
      <c r="AH35" t="s">
        <v>49</v>
      </c>
      <c r="AI35">
        <v>24</v>
      </c>
      <c r="AJ35" t="s">
        <v>98</v>
      </c>
      <c r="AK35">
        <v>32</v>
      </c>
      <c r="AL35">
        <v>3965.1</v>
      </c>
      <c r="AM35">
        <v>7622</v>
      </c>
      <c r="AN35">
        <v>1628</v>
      </c>
      <c r="AO35">
        <v>0</v>
      </c>
      <c r="AP35">
        <v>-1</v>
      </c>
      <c r="AQ35" t="s">
        <v>135</v>
      </c>
      <c r="AR35" t="s">
        <v>136</v>
      </c>
      <c r="AS35">
        <v>4.4000000000000004</v>
      </c>
      <c r="AT35" t="s">
        <v>57</v>
      </c>
      <c r="AU35" t="s">
        <v>58</v>
      </c>
    </row>
    <row r="36" spans="1:47" x14ac:dyDescent="0.35">
      <c r="A36">
        <v>33</v>
      </c>
      <c r="B36" t="s">
        <v>118</v>
      </c>
      <c r="C36" s="1">
        <v>46192</v>
      </c>
      <c r="D36" s="2">
        <v>0.67113425925925929</v>
      </c>
      <c r="E36">
        <v>1000</v>
      </c>
      <c r="F36">
        <v>99.53</v>
      </c>
      <c r="G36">
        <v>494</v>
      </c>
      <c r="H36">
        <v>0</v>
      </c>
      <c r="I36">
        <v>82.85</v>
      </c>
      <c r="J36">
        <v>4096</v>
      </c>
      <c r="K36" s="3">
        <v>0.39600000000000002</v>
      </c>
      <c r="L36" s="3">
        <v>0.32500000000000001</v>
      </c>
      <c r="M36" s="3">
        <v>0.32500000000000001</v>
      </c>
      <c r="N36" s="3">
        <v>0.32100000000000001</v>
      </c>
      <c r="O36" s="3">
        <v>0.29799999999999999</v>
      </c>
      <c r="P36" s="3">
        <v>0.151</v>
      </c>
      <c r="Q36" s="3">
        <v>4.9000000000000002E-2</v>
      </c>
      <c r="R36" s="3">
        <v>0.02</v>
      </c>
      <c r="S36" s="3">
        <v>1.6E-2</v>
      </c>
      <c r="T36">
        <v>68</v>
      </c>
      <c r="U36">
        <v>16</v>
      </c>
      <c r="V36">
        <v>12</v>
      </c>
      <c r="W36">
        <v>85</v>
      </c>
      <c r="X36">
        <v>53</v>
      </c>
      <c r="Y36">
        <v>73</v>
      </c>
      <c r="Z36">
        <v>65</v>
      </c>
      <c r="AA36">
        <v>1</v>
      </c>
      <c r="AB36">
        <v>1</v>
      </c>
      <c r="AC36">
        <v>1</v>
      </c>
      <c r="AD36">
        <v>8.0000000000000002E-3</v>
      </c>
      <c r="AE36">
        <v>1063</v>
      </c>
      <c r="AF36">
        <v>0</v>
      </c>
      <c r="AG36">
        <v>-1</v>
      </c>
      <c r="AH36" t="s">
        <v>49</v>
      </c>
      <c r="AI36">
        <v>16</v>
      </c>
      <c r="AJ36" t="s">
        <v>60</v>
      </c>
      <c r="AK36">
        <v>128</v>
      </c>
      <c r="AL36">
        <v>3269.5</v>
      </c>
      <c r="AM36">
        <v>5159</v>
      </c>
      <c r="AN36">
        <v>1406.1</v>
      </c>
      <c r="AO36">
        <v>0</v>
      </c>
      <c r="AP36">
        <v>-1</v>
      </c>
      <c r="AQ36" t="s">
        <v>119</v>
      </c>
      <c r="AR36" t="s">
        <v>120</v>
      </c>
      <c r="AS36">
        <v>7.9</v>
      </c>
      <c r="AT36" t="s">
        <v>57</v>
      </c>
      <c r="AU36" t="s">
        <v>58</v>
      </c>
    </row>
    <row r="37" spans="1:47" x14ac:dyDescent="0.35">
      <c r="A37">
        <v>34</v>
      </c>
      <c r="B37" t="s">
        <v>128</v>
      </c>
      <c r="C37" s="1">
        <v>46192</v>
      </c>
      <c r="D37" s="2">
        <v>0.5426157407407407</v>
      </c>
      <c r="E37">
        <v>1000</v>
      </c>
      <c r="F37">
        <v>126.17</v>
      </c>
      <c r="G37">
        <v>378</v>
      </c>
      <c r="H37">
        <v>0</v>
      </c>
      <c r="I37">
        <v>50.37</v>
      </c>
      <c r="J37">
        <v>4096</v>
      </c>
      <c r="K37" s="3">
        <v>0.35699999999999998</v>
      </c>
      <c r="L37" s="3">
        <v>1.4E-2</v>
      </c>
      <c r="M37" s="3">
        <v>1.4E-2</v>
      </c>
      <c r="N37" s="3">
        <v>1.4E-2</v>
      </c>
      <c r="O37" s="3">
        <v>1.4E-2</v>
      </c>
      <c r="P37" s="3">
        <v>1.4E-2</v>
      </c>
      <c r="Q37" s="3">
        <v>1.4E-2</v>
      </c>
      <c r="R37" s="3">
        <v>1.4E-2</v>
      </c>
      <c r="S37" s="3">
        <v>1.4E-2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1</v>
      </c>
      <c r="AD37">
        <v>3.5000000000000003E-2</v>
      </c>
      <c r="AE37">
        <v>1939</v>
      </c>
      <c r="AF37">
        <v>0</v>
      </c>
      <c r="AG37">
        <v>-1</v>
      </c>
      <c r="AH37" t="s">
        <v>49</v>
      </c>
      <c r="AI37">
        <v>4</v>
      </c>
      <c r="AJ37" t="s">
        <v>125</v>
      </c>
      <c r="AK37">
        <v>32</v>
      </c>
      <c r="AL37">
        <v>2950.6</v>
      </c>
      <c r="AM37">
        <v>6035</v>
      </c>
      <c r="AN37">
        <v>1675.8</v>
      </c>
      <c r="AO37">
        <v>0</v>
      </c>
      <c r="AP37">
        <v>-1</v>
      </c>
      <c r="AQ37" t="s">
        <v>129</v>
      </c>
      <c r="AR37" t="s">
        <v>130</v>
      </c>
      <c r="AS37">
        <v>41</v>
      </c>
      <c r="AT37" t="s">
        <v>69</v>
      </c>
      <c r="AU37" t="s">
        <v>58</v>
      </c>
    </row>
    <row r="38" spans="1:47" x14ac:dyDescent="0.35">
      <c r="A38">
        <v>35</v>
      </c>
      <c r="B38" t="s">
        <v>124</v>
      </c>
      <c r="C38" s="1">
        <v>46193</v>
      </c>
      <c r="D38" s="2">
        <v>0.25282407407407409</v>
      </c>
      <c r="E38">
        <v>1000</v>
      </c>
      <c r="F38">
        <v>9.5399999999999991</v>
      </c>
      <c r="G38">
        <v>30</v>
      </c>
      <c r="H38">
        <v>0</v>
      </c>
      <c r="I38">
        <v>53.41</v>
      </c>
      <c r="J38">
        <v>4096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1</v>
      </c>
      <c r="AD38">
        <v>0</v>
      </c>
      <c r="AE38">
        <v>0</v>
      </c>
      <c r="AF38">
        <v>0</v>
      </c>
      <c r="AG38">
        <v>-1</v>
      </c>
      <c r="AH38" t="s">
        <v>49</v>
      </c>
      <c r="AI38">
        <v>8</v>
      </c>
      <c r="AJ38" t="s">
        <v>125</v>
      </c>
      <c r="AK38">
        <v>32</v>
      </c>
      <c r="AL38">
        <v>0</v>
      </c>
      <c r="AM38">
        <v>0</v>
      </c>
      <c r="AN38">
        <v>0</v>
      </c>
      <c r="AO38">
        <v>0</v>
      </c>
      <c r="AP38">
        <v>-1</v>
      </c>
      <c r="AQ38" t="s">
        <v>126</v>
      </c>
      <c r="AR38" t="s">
        <v>127</v>
      </c>
      <c r="AS38">
        <v>18</v>
      </c>
      <c r="AT38" t="s">
        <v>57</v>
      </c>
      <c r="AU38" t="s">
        <v>58</v>
      </c>
    </row>
    <row r="40" spans="1:47" s="11" customFormat="1" x14ac:dyDescent="0.35">
      <c r="B40" s="11" t="s">
        <v>167</v>
      </c>
      <c r="E40" s="11">
        <f>AVERAGE(E7:E13)</f>
        <v>1000</v>
      </c>
      <c r="F40" s="12">
        <f t="shared" ref="F40:AS40" si="0">AVERAGE(F7:F13)</f>
        <v>102.83285714285715</v>
      </c>
      <c r="G40" s="11">
        <f t="shared" si="0"/>
        <v>531.85714285714289</v>
      </c>
      <c r="H40" s="11">
        <f t="shared" si="0"/>
        <v>72</v>
      </c>
      <c r="I40" s="12">
        <f t="shared" si="0"/>
        <v>150.94</v>
      </c>
      <c r="J40" s="11">
        <f t="shared" si="0"/>
        <v>6144</v>
      </c>
      <c r="K40" s="13">
        <f t="shared" si="0"/>
        <v>0.97171428571428564</v>
      </c>
      <c r="L40" s="13">
        <f t="shared" si="0"/>
        <v>0.9385714285714285</v>
      </c>
      <c r="M40" s="13">
        <f t="shared" si="0"/>
        <v>0.9364285714285715</v>
      </c>
      <c r="N40" s="13">
        <f t="shared" si="0"/>
        <v>0.92714285714285716</v>
      </c>
      <c r="O40" s="13">
        <f t="shared" si="0"/>
        <v>0.90357142857142847</v>
      </c>
      <c r="P40" s="13">
        <f t="shared" si="0"/>
        <v>0.88742857142857123</v>
      </c>
      <c r="Q40" s="13">
        <f t="shared" si="0"/>
        <v>0.77714285714285702</v>
      </c>
      <c r="R40" s="13">
        <f t="shared" si="0"/>
        <v>0.76328571428571423</v>
      </c>
      <c r="S40" s="13">
        <f t="shared" si="0"/>
        <v>0.745</v>
      </c>
      <c r="T40" s="12">
        <f t="shared" si="0"/>
        <v>46.857142857142854</v>
      </c>
      <c r="U40" s="12">
        <f t="shared" si="0"/>
        <v>20</v>
      </c>
      <c r="V40" s="12">
        <f t="shared" si="0"/>
        <v>30.428571428571427</v>
      </c>
      <c r="W40" s="12">
        <f t="shared" si="0"/>
        <v>35</v>
      </c>
      <c r="X40" s="12">
        <f t="shared" si="0"/>
        <v>2.2857142857142856</v>
      </c>
      <c r="Y40" s="12">
        <f t="shared" si="0"/>
        <v>39</v>
      </c>
      <c r="Z40" s="12">
        <f t="shared" si="0"/>
        <v>39.857142857142854</v>
      </c>
      <c r="AA40" s="12">
        <f t="shared" si="0"/>
        <v>0.99542857142857144</v>
      </c>
      <c r="AB40" s="12">
        <f t="shared" si="0"/>
        <v>1</v>
      </c>
      <c r="AC40" s="12">
        <f t="shared" si="0"/>
        <v>1</v>
      </c>
      <c r="AD40" s="12">
        <f t="shared" si="0"/>
        <v>2E-3</v>
      </c>
      <c r="AE40" s="12">
        <f t="shared" si="0"/>
        <v>416.71428571428572</v>
      </c>
      <c r="AF40" s="12">
        <f t="shared" si="0"/>
        <v>0</v>
      </c>
      <c r="AG40" s="12">
        <f t="shared" si="0"/>
        <v>1</v>
      </c>
      <c r="AI40" s="11">
        <f t="shared" si="0"/>
        <v>7.5714285714285712</v>
      </c>
      <c r="AK40" s="11">
        <f t="shared" si="0"/>
        <v>201.14285714285714</v>
      </c>
      <c r="AL40" s="12">
        <f t="shared" si="0"/>
        <v>3375.1714285714288</v>
      </c>
      <c r="AM40" s="12">
        <f t="shared" si="0"/>
        <v>6002.8571428571431</v>
      </c>
      <c r="AN40" s="12">
        <f t="shared" si="0"/>
        <v>1186.5</v>
      </c>
      <c r="AO40" s="12">
        <f t="shared" si="0"/>
        <v>0</v>
      </c>
      <c r="AP40" s="12">
        <f t="shared" si="0"/>
        <v>-1</v>
      </c>
      <c r="AQ40" s="12"/>
      <c r="AR40" s="12"/>
      <c r="AS40" s="12">
        <f t="shared" si="0"/>
        <v>25</v>
      </c>
      <c r="AT40" s="12"/>
      <c r="AU40" s="12"/>
    </row>
  </sheetData>
  <sortState xmlns:xlrd2="http://schemas.microsoft.com/office/spreadsheetml/2017/richdata2" ref="B5:AU38">
    <sortCondition descending="1" ref="S5:S3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overallResults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Gerstmayr, Johannes</dc:creator>
  <cp:lastModifiedBy>Pieber, Michael</cp:lastModifiedBy>
  <dcterms:created xsi:type="dcterms:W3CDTF">2026-06-29T08:11:24Z</dcterms:created>
  <dcterms:modified xsi:type="dcterms:W3CDTF">2026-06-30T09:54:15Z</dcterms:modified>
</cp:coreProperties>
</file>